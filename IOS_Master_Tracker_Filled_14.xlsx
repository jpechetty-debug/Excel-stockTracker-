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  <sheet xmlns:r="http://schemas.openxmlformats.org/officeDocument/2006/relationships" name="Legacy Scores (Archived)" sheetId="10" state="visible" r:id="rId10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charset val="1"/>
      <family val="2"/>
      <color theme="1"/>
      <sz val="11"/>
    </font>
    <font>
      <name val="Cambria"/>
      <charset val="1"/>
      <b val="1"/>
      <color rgb="FFFFFFFF"/>
      <sz val="11"/>
    </font>
    <font>
      <name val="Calibri"/>
      <charset val="1"/>
      <color rgb="FF000000"/>
      <sz val="11"/>
    </font>
    <font>
      <name val="Calibri"/>
      <charset val="1"/>
      <color rgb="FF0000FF"/>
      <sz val="11"/>
    </font>
    <font>
      <name val="Calibri"/>
      <charset val="1"/>
      <i val="1"/>
      <color rgb="FF808080"/>
      <sz val="10"/>
    </font>
    <font>
      <name val="Cambria"/>
      <charset val="1"/>
      <b val="1"/>
      <sz val="11"/>
    </font>
    <font>
      <name val="Cambria"/>
      <charset val="1"/>
      <b val="1"/>
      <color rgb="FF1F4E78"/>
      <sz val="11"/>
    </font>
    <font>
      <name val="Calibri"/>
      <charset val="1"/>
      <color rgb="FF006100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7" tint="0.5998718222602009"/>
        <bgColor rgb="FFCCCCFF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5" fontId="2" fillId="0" borderId="1" pivotButton="0" quotePrefix="0" xfId="0"/>
    <xf numFmtId="165" fontId="2" fillId="0" borderId="0" pivotButton="0" quotePrefix="0" xfId="0"/>
    <xf numFmtId="0" fontId="7" fillId="0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</cols>
  <sheetData>
    <row r="1" ht="15" customHeight="1">
      <c r="A1" s="1" t="inlineStr">
        <is>
          <t>Metric</t>
        </is>
      </c>
      <c r="B1" s="1" t="inlineStr">
        <is>
          <t>Value</t>
        </is>
      </c>
    </row>
    <row r="2" ht="15" customHeight="1">
      <c r="A2" t="inlineStr">
        <is>
          <t>Portfolio Name</t>
        </is>
      </c>
      <c r="B2" t="inlineStr">
        <is>
          <t>IOS v3.1</t>
        </is>
      </c>
    </row>
    <row r="3" ht="15" customHeight="1">
      <c r="A3" t="inlineStr">
        <is>
          <t>As of Date</t>
        </is>
      </c>
      <c r="B3" t="inlineStr">
        <is>
          <t>July 2026 Baseline</t>
        </is>
      </c>
    </row>
    <row r="4" ht="15" customHeight="1">
      <c r="A4" t="inlineStr">
        <is>
          <t>Total Universe</t>
        </is>
      </c>
      <c r="B4" t="n">
        <v>35</v>
      </c>
    </row>
    <row r="5" ht="15" customHeight="1">
      <c r="A5" t="inlineStr">
        <is>
          <t>Core Holdings</t>
        </is>
      </c>
      <c r="B5" t="n">
        <v>4</v>
      </c>
    </row>
    <row r="6" ht="15" customHeight="1">
      <c r="A6" t="inlineStr">
        <is>
          <t>Bench</t>
        </is>
      </c>
      <c r="B6" t="n">
        <v>1</v>
      </c>
    </row>
    <row r="7" ht="15" customHeight="1">
      <c r="A7" t="inlineStr">
        <is>
          <t>Research</t>
        </is>
      </c>
      <c r="B7" t="n">
        <v>26</v>
      </c>
    </row>
    <row r="8" ht="15" customHeight="1">
      <c r="A8" t="inlineStr">
        <is>
          <t>Deferred</t>
        </is>
      </c>
      <c r="B8" t="n">
        <v>4</v>
      </c>
    </row>
    <row r="9" ht="15" customHeight="1">
      <c r="A9" t="inlineStr">
        <is>
          <t>Cash Allocation Target</t>
        </is>
      </c>
      <c r="B9" t="inlineStr">
        <is>
          <t>20%</t>
        </is>
      </c>
    </row>
    <row r="10" ht="15" customHeight="1">
      <c r="A10" t="inlineStr">
        <is>
          <t>Review Frequency</t>
        </is>
      </c>
      <c r="B10" t="inlineStr">
        <is>
          <t>Quarterly</t>
        </is>
      </c>
    </row>
    <row r="11" ht="15" customHeight="1">
      <c r="A11" s="2" t="inlineStr">
        <is>
          <t>Total Portfolio Value (Rs)</t>
        </is>
      </c>
      <c r="B11" s="3" t="n">
        <v>70000</v>
      </c>
    </row>
    <row r="12" ht="15" customHeight="1">
      <c r="A12" s="2" t="inlineStr">
        <is>
          <t>Required Margin of Safety (%)</t>
        </is>
      </c>
      <c r="B12" s="3" t="n">
        <v>25</v>
      </c>
    </row>
    <row r="13" ht="15" customHeight="1">
      <c r="A13" s="2" t="inlineStr">
        <is>
          <t>Default Growth Rate if Missing (%)</t>
        </is>
      </c>
      <c r="B13" s="3" t="n">
        <v>8</v>
      </c>
    </row>
    <row r="14" ht="15" customHeight="1">
      <c r="A14" s="2" t="inlineStr">
        <is>
          <t>Cost of Equity Ke (%)</t>
        </is>
      </c>
      <c r="B14" s="3" t="n">
        <v>13</v>
      </c>
    </row>
    <row r="15" ht="15" customHeight="1">
      <c r="A15" s="2" t="inlineStr">
        <is>
          <t>India 10Y G-Sec Yield Ref (%)</t>
        </is>
      </c>
      <c r="B15" s="3" t="n">
        <v>6.7</v>
      </c>
    </row>
    <row r="16" ht="15" customHeight="1">
      <c r="A16" s="2" t="inlineStr">
        <is>
          <t>Valuation Model</t>
        </is>
      </c>
      <c r="B16" s="4" t="inlineStr">
        <is>
          <t>Justified P/E (ROE-based): PE = (1 - g/ROE) x 100/(Ke-g); IV = Implied EPS x Justified PE</t>
        </is>
      </c>
    </row>
    <row r="17" ht="15" customHeight="1">
      <c r="A17" s="2" t="inlineStr">
        <is>
          <t>Note</t>
        </is>
      </c>
      <c r="B17" s="4" t="inlineStr">
        <is>
          <t>Current Price values are manual snapshots entered in Master Universe - refresh periodically, not live-linked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7"/>
  <sheetViews>
    <sheetView tabSelected="1" zoomScaleNormal="100" workbookViewId="0">
      <pane ySplit="1" topLeftCell="A2" activePane="bottomLeft" state="frozen"/>
      <selection activeCell="AV1" sqref="AV1"/>
      <selection pane="bottomLeft" activeCell="A4" sqref="A4"/>
    </sheetView>
  </sheetViews>
  <sheetFormatPr baseColWidth="8" defaultColWidth="8.7109375" defaultRowHeight="15"/>
  <cols>
    <col width="15" customWidth="1" min="1" max="1"/>
    <col width="53.7109375" customWidth="1" min="2" max="2"/>
    <col width="15" customWidth="1" min="3" max="3"/>
    <col width="25.85546875" customWidth="1" min="4" max="4"/>
    <col width="15" customWidth="1" min="5" max="7"/>
    <col width="16" customWidth="1" min="8" max="8"/>
    <col width="17" customWidth="1" min="9" max="9"/>
    <col width="19" customWidth="1" min="10" max="10"/>
    <col width="17" customWidth="1" min="11" max="11"/>
    <col width="16" customWidth="1" min="12" max="12"/>
    <col width="25" customWidth="1" min="13" max="13"/>
    <col width="18" customWidth="1" min="14" max="14"/>
    <col width="255.7109375" customWidth="1" min="15" max="15"/>
    <col width="15" customWidth="1" min="16" max="21"/>
    <col width="19" customWidth="1" min="22" max="22"/>
    <col width="15" customWidth="1" min="23" max="23"/>
    <col width="27" customWidth="1" min="24" max="24"/>
    <col width="19" customWidth="1" min="25" max="25"/>
    <col width="15" customWidth="1" min="26" max="28"/>
    <col width="19" customWidth="1" min="29" max="29"/>
    <col width="16" customWidth="1" min="30" max="30"/>
    <col width="15" customWidth="1" min="31" max="32"/>
    <col width="16" customWidth="1" min="33" max="33"/>
    <col width="18" customWidth="1" min="34" max="34"/>
    <col width="21" customWidth="1" min="35" max="35"/>
    <col width="22" customWidth="1" min="36" max="36"/>
    <col width="20" customWidth="1" min="37" max="37"/>
    <col width="15" customWidth="1" min="38" max="39"/>
    <col width="18" customWidth="1" min="40" max="40"/>
    <col width="18.28515625" customWidth="1" min="41" max="41"/>
    <col width="17" customWidth="1" min="42" max="42"/>
    <col width="70.7109375" customWidth="1" min="43" max="43"/>
    <col width="125" customWidth="1" min="44" max="44"/>
    <col width="255.7109375" customWidth="1" min="45" max="45"/>
    <col width="133.28515625" customWidth="1" min="46" max="46"/>
    <col width="113.7109375" customWidth="1" min="47" max="47"/>
    <col width="76.7109375" customWidth="1" min="48" max="48"/>
    <col width="21.85546875" customWidth="1" min="49" max="49"/>
    <col width="16" customWidth="1" min="50" max="50"/>
    <col width="12" bestFit="1" customWidth="1" min="51" max="51"/>
    <col width="50.85546875" bestFit="1" customWidth="1" min="60" max="60"/>
    <col width="24" bestFit="1" customWidth="1" min="61" max="61"/>
  </cols>
  <sheetData>
    <row r="1" ht="15" customHeight="1">
      <c r="A1" s="5" t="inlineStr">
        <is>
          <t>S.No</t>
        </is>
      </c>
      <c r="B1" s="5" t="inlineStr">
        <is>
          <t>Company</t>
        </is>
      </c>
      <c r="C1" s="5" t="inlineStr">
        <is>
          <t>Ticker</t>
        </is>
      </c>
      <c r="D1" s="5" t="inlineStr">
        <is>
          <t>Sector</t>
        </is>
      </c>
      <c r="E1" s="5" t="inlineStr">
        <is>
          <t>Industry</t>
        </is>
      </c>
      <c r="F1" s="5" t="inlineStr">
        <is>
          <t>Market Cap</t>
        </is>
      </c>
      <c r="G1" s="5" t="inlineStr">
        <is>
          <t>IOS Stage</t>
        </is>
      </c>
      <c r="H1" s="5" t="inlineStr">
        <is>
          <t>Evidence Gate</t>
        </is>
      </c>
      <c r="I1" s="5" t="inlineStr">
        <is>
          <t>Business Score</t>
        </is>
      </c>
      <c r="J1" s="5" t="inlineStr">
        <is>
          <t>Investment Score</t>
        </is>
      </c>
      <c r="K1" s="5" t="inlineStr">
        <is>
          <t>Data Confidence (%)</t>
        </is>
      </c>
      <c r="L1" s="5" t="inlineStr">
        <is>
          <t>Business Confidence (%)</t>
        </is>
      </c>
      <c r="M1" s="5" t="inlineStr">
        <is>
          <t>Research Priority</t>
        </is>
      </c>
      <c r="N1" s="5" t="inlineStr">
        <is>
          <t>Event Overlay</t>
        </is>
      </c>
      <c r="O1" s="5" t="inlineStr">
        <is>
          <t>Business Quality Notes</t>
        </is>
      </c>
      <c r="P1" s="5" t="inlineStr">
        <is>
          <t>Valuation (P/E)</t>
        </is>
      </c>
      <c r="Q1" s="5" t="inlineStr">
        <is>
          <t>PEG</t>
        </is>
      </c>
      <c r="R1" s="5" t="inlineStr">
        <is>
          <t>PEGY</t>
        </is>
      </c>
      <c r="S1" s="5" t="inlineStr">
        <is>
          <t>EV/EBIT</t>
        </is>
      </c>
      <c r="T1" s="5" t="inlineStr">
        <is>
          <t>ROE %</t>
        </is>
      </c>
      <c r="U1" s="5" t="inlineStr">
        <is>
          <t>ROCE %</t>
        </is>
      </c>
      <c r="V1" s="5" t="inlineStr">
        <is>
          <t>Debt/Equity</t>
        </is>
      </c>
      <c r="W1" s="5" t="inlineStr">
        <is>
          <t>FCF Yield %</t>
        </is>
      </c>
      <c r="X1" s="5" t="inlineStr">
        <is>
          <t>Revenue Growth %</t>
        </is>
      </c>
      <c r="Y1" s="5" t="inlineStr">
        <is>
          <t>EPS Growth %</t>
        </is>
      </c>
      <c r="Z1" s="5" t="inlineStr">
        <is>
          <t>Capital Allocation Score [DEPRECATED - see Legacy Scores (Archived) sheet]</t>
        </is>
      </c>
      <c r="AA1" s="5" t="inlineStr">
        <is>
          <t>Management Score [DEPRECATED - see Legacy Scores (Archived) sheet]</t>
        </is>
      </c>
      <c r="AB1" s="5" t="inlineStr">
        <is>
          <t>Moat Score [DEPRECATED - see Legacy Scores (Archived) sheet]</t>
        </is>
      </c>
      <c r="AC1" s="5" t="inlineStr">
        <is>
          <t>Growth Score [DEPRECATED - see Legacy Scores (Archived) sheet]</t>
        </is>
      </c>
      <c r="AD1" s="5" t="inlineStr">
        <is>
          <t>Risk Score [DEPRECATED - see Legacy Scores (Archived) sheet]</t>
        </is>
      </c>
      <c r="AE1" s="5" t="inlineStr">
        <is>
          <t>Decision Journal</t>
        </is>
      </c>
      <c r="AF1" s="5" t="inlineStr">
        <is>
          <t>Last Reviewed</t>
        </is>
      </c>
      <c r="AG1" s="5" t="inlineStr">
        <is>
          <t>Next Review</t>
        </is>
      </c>
      <c r="AH1" s="5" t="inlineStr">
        <is>
          <t>Buy Price</t>
        </is>
      </c>
      <c r="AI1" s="5" t="inlineStr">
        <is>
          <t>Current Price</t>
        </is>
      </c>
      <c r="AJ1" s="5" t="inlineStr">
        <is>
          <t>Intrinsic Value</t>
        </is>
      </c>
      <c r="AK1" s="5" t="inlineStr">
        <is>
          <t>Margin of Safety %</t>
        </is>
      </c>
      <c r="AL1" s="5" t="inlineStr">
        <is>
          <t>Target Allocation %</t>
        </is>
      </c>
      <c r="AM1" s="5" t="inlineStr">
        <is>
          <t>Position Size (₹)</t>
        </is>
      </c>
      <c r="AN1" s="5" t="inlineStr">
        <is>
          <t>Status</t>
        </is>
      </c>
      <c r="AO1" s="5" t="inlineStr">
        <is>
          <t>Catalyst</t>
        </is>
      </c>
      <c r="AP1" s="5" t="inlineStr">
        <is>
          <t>Thesis Maturity</t>
        </is>
      </c>
      <c r="AQ1" s="5" t="inlineStr">
        <is>
          <t>Remarks</t>
        </is>
      </c>
      <c r="AR1" s="6" t="inlineStr">
        <is>
          <t>Investment Thesis</t>
        </is>
      </c>
      <c r="AS1" s="6" t="inlineStr">
        <is>
          <t>Key Risks</t>
        </is>
      </c>
      <c r="AT1" s="6" t="inlineStr">
        <is>
          <t>Valuation Summary</t>
        </is>
      </c>
      <c r="AU1" s="6" t="inlineStr">
        <is>
          <t>Upgrade/Downgrade Trigger</t>
        </is>
      </c>
      <c r="AV1" s="6" t="inlineStr">
        <is>
          <t>Sources Verified</t>
        </is>
      </c>
      <c r="AW1" s="7" t="inlineStr">
        <is>
          <t>EPS Implied (Rs, Price/PE)</t>
        </is>
      </c>
      <c r="AX1" s="7" t="inlineStr">
        <is>
          <t>Growth Rate Used %</t>
        </is>
      </c>
      <c r="AY1" s="22" t="inlineStr">
        <is>
          <t>Justified P/E</t>
        </is>
      </c>
      <c r="AZ1" s="22" t="inlineStr">
        <is>
          <t>Dividend Yield</t>
        </is>
      </c>
      <c r="BA1" s="22" t="inlineStr">
        <is>
          <t>Beta</t>
        </is>
      </c>
      <c r="BB1" s="22" t="inlineStr">
        <is>
          <t>P/E</t>
        </is>
      </c>
      <c r="BC1" s="22" t="inlineStr">
        <is>
          <t>P/B</t>
        </is>
      </c>
      <c r="BD1" s="22" t="inlineStr">
        <is>
          <t>Investment Confidence (%)</t>
        </is>
      </c>
      <c r="BE1" s="22" t="inlineStr">
        <is>
          <t>Risk Score (Engine)</t>
        </is>
      </c>
      <c r="BF1" s="22" t="inlineStr">
        <is>
          <t>Risk Confidence (%)</t>
        </is>
      </c>
      <c r="BG1" s="22" t="inlineStr">
        <is>
          <t>Portfolio Weight</t>
        </is>
      </c>
      <c r="BH1" s="22" t="inlineStr">
        <is>
          <t>Valuation Status</t>
        </is>
      </c>
      <c r="BI1" s="22" t="inlineStr">
        <is>
          <t>Overall Recommendation</t>
        </is>
      </c>
      <c r="BJ1" s="21" t="n"/>
      <c r="BK1" s="21" t="n"/>
      <c r="BL1" t="inlineStr">
        <is>
          <t>Previous Close</t>
        </is>
      </c>
      <c r="BM1" t="inlineStr">
        <is>
          <t>Valuation Label</t>
        </is>
      </c>
    </row>
    <row r="2" ht="15" customHeight="1">
      <c r="A2" s="8" t="n">
        <v>1</v>
      </c>
      <c r="B2" s="8" t="inlineStr">
        <is>
          <t>Computer Age Management Services (CAMS)</t>
        </is>
      </c>
      <c r="C2" s="8" t="inlineStr">
        <is>
          <t>CAMS.NS</t>
        </is>
      </c>
      <c r="D2" s="8" t="inlineStr">
        <is>
          <t>Financial Services</t>
        </is>
      </c>
      <c r="E2" s="8" t="inlineStr">
        <is>
          <t>RTA</t>
        </is>
      </c>
      <c r="F2" s="8" t="n">
        <v>186103906304</v>
      </c>
      <c r="G2" s="8" t="inlineStr">
        <is>
          <t>Core</t>
        </is>
      </c>
      <c r="H2" s="8" t="inlineStr">
        <is>
          <t>Pass</t>
        </is>
      </c>
      <c r="I2" s="8" t="n">
        <v>97</v>
      </c>
      <c r="J2" s="8" t="n">
        <v>46.14177054925278</v>
      </c>
      <c r="K2" s="8" t="n">
        <v>97</v>
      </c>
      <c r="L2" s="8" t="n">
        <v>100</v>
      </c>
      <c r="M2" s="8" t="inlineStr">
        <is>
          <t>Low - thesis proven, maintenance only</t>
        </is>
      </c>
      <c r="N2" s="8" t="inlineStr">
        <is>
          <t>None</t>
        </is>
      </c>
      <c r="O2" s="8" t="inlineStr">
        <is>
          <t>Dominant mutual fund RTA | Debt/Equity ~0.05 (near-zero net cash).</t>
        </is>
      </c>
      <c r="P2" s="8" t="n">
        <v>40</v>
      </c>
      <c r="Q2" s="8" t="n">
        <v>2</v>
      </c>
      <c r="R2" s="8" t="n">
        <v>1.85</v>
      </c>
      <c r="S2" s="8" t="n">
        <v>31.50389117908067</v>
      </c>
      <c r="T2" s="8" t="n">
        <v>36.03169934056724</v>
      </c>
      <c r="U2" s="8" t="n">
        <v>41.2056152802131</v>
      </c>
      <c r="V2" s="8" t="n">
        <v>0.05</v>
      </c>
      <c r="W2" s="8" t="n">
        <v>2.377569345585877</v>
      </c>
      <c r="X2" s="8" t="n">
        <v>16</v>
      </c>
      <c r="Y2" s="8" t="n">
        <v>20</v>
      </c>
      <c r="Z2" s="8" t="n"/>
      <c r="AA2" s="8" t="n"/>
      <c r="AB2" s="8" t="n"/>
      <c r="AC2" s="8" t="n"/>
      <c r="AD2" s="8" t="n"/>
      <c r="AE2" s="8" t="inlineStr">
        <is>
          <t>Complete</t>
        </is>
      </c>
      <c r="AF2" s="8" t="inlineStr">
        <is>
          <t>Jul-2026</t>
        </is>
      </c>
      <c r="AG2" s="8" t="inlineStr">
        <is>
          <t>Oct-2026</t>
        </is>
      </c>
      <c r="AH2" s="9" t="n">
        <v>229.3533335282446</v>
      </c>
      <c r="AI2" s="10" t="n">
        <v>752</v>
      </c>
      <c r="AJ2" s="9" t="n">
        <v>286.6916669103057</v>
      </c>
      <c r="AK2" s="11" t="n">
        <v>-161.535330998854</v>
      </c>
      <c r="AL2" s="8" t="n">
        <v>4.59326171629291</v>
      </c>
      <c r="AM2" s="12" t="n">
        <v>45932.61716292911</v>
      </c>
      <c r="AN2" s="8" t="inlineStr">
        <is>
          <t>Core</t>
        </is>
      </c>
      <c r="AO2" s="8" t="inlineStr">
        <is>
          <t>Market leadership</t>
        </is>
      </c>
      <c r="AP2" s="8" t="inlineStr">
        <is>
          <t>Validated</t>
        </is>
      </c>
      <c r="AQ2" s="8" t="inlineStr">
        <is>
          <t>See structured fields (Thesis / Risks / Valuation / Trigger / Sources) for detail.</t>
        </is>
      </c>
      <c r="AR2" s="8" t="inlineStr">
        <is>
          <t>Dominant RTA franchise (~65% mutual-fund AUM market share moat); high-margin, asset-light business compounding with AUM growth.</t>
        </is>
      </c>
      <c r="AS2" s="8" t="inlineStr">
        <is>
          <t>Regulatory/SEBI fee-structure changes; AUM-linked revenue exposed to market downturns.</t>
        </is>
      </c>
      <c r="AT2" s="8" t="inlineStr">
        <is>
          <t>P/E ~40x (near 10yr median); ROCE ~53-60%; ROE ~20-25%; net cash (~Rs.885M debt vs ~Rs.6.8B cash); gross margin ~65%, op margin ~40%.</t>
        </is>
      </c>
      <c r="AU2" s="8" t="inlineStr">
        <is>
          <t>Core holding, already promoted. Downgrade trigger: AUM market-share loss or regulatory fee cap.</t>
        </is>
      </c>
      <c r="AV2" s="8" t="inlineStr">
        <is>
          <t>Screener/GuruFocus aggregation, Jul-2026.</t>
        </is>
      </c>
      <c r="AW2" s="13" t="n">
        <v>19.10000121763144</v>
      </c>
      <c r="AX2" s="13" t="n">
        <v>13.813758</v>
      </c>
      <c r="AY2" s="23" t="n">
        <v>15.01003491676993</v>
      </c>
      <c r="AZ2" s="23" t="n">
        <v>1.61</v>
      </c>
      <c r="BA2" s="23" t="n"/>
      <c r="BB2" s="23" t="n">
        <v>39.256542</v>
      </c>
      <c r="BC2" s="23" t="n"/>
      <c r="BD2" s="23" t="n">
        <v>100</v>
      </c>
      <c r="BE2" s="23" t="n">
        <v>4.862328764427268</v>
      </c>
      <c r="BF2" s="23" t="n">
        <v>100</v>
      </c>
      <c r="BG2" s="23" t="n"/>
      <c r="BH2" s="23" t="inlineStr">
        <is>
          <t>OK</t>
        </is>
      </c>
      <c r="BI2" s="23" t="inlineStr">
        <is>
          <t>Watch (Quality, Pricey)</t>
        </is>
      </c>
      <c r="BM2" t="inlineStr">
        <is>
          <t>Extremely Overvalued</t>
        </is>
      </c>
    </row>
    <row r="3" ht="15" customHeight="1">
      <c r="A3" s="8" t="n">
        <v>2</v>
      </c>
      <c r="B3" s="8" t="inlineStr">
        <is>
          <t>Tata Consultancy Services</t>
        </is>
      </c>
      <c r="C3" s="8" t="inlineStr">
        <is>
          <t>TCS.NS</t>
        </is>
      </c>
      <c r="D3" s="8" t="inlineStr">
        <is>
          <t>IT</t>
        </is>
      </c>
      <c r="E3" s="8" t="inlineStr">
        <is>
          <t>IT Services</t>
        </is>
      </c>
      <c r="F3" s="8" t="n">
        <v>7444214841344</v>
      </c>
      <c r="G3" s="8" t="inlineStr">
        <is>
          <t>Core</t>
        </is>
      </c>
      <c r="H3" s="8" t="inlineStr">
        <is>
          <t>Pass</t>
        </is>
      </c>
      <c r="I3" s="8" t="n">
        <v>74</v>
      </c>
      <c r="J3" s="8" t="n">
        <v>85.37205298601414</v>
      </c>
      <c r="K3" s="8" t="n">
        <v>95</v>
      </c>
      <c r="L3" s="8" t="n">
        <v>100</v>
      </c>
      <c r="M3" s="8" t="inlineStr">
        <is>
          <t>Low - maintenance, USFDA/deal-win monitoring</t>
        </is>
      </c>
      <c r="N3" s="8" t="inlineStr">
        <is>
          <t>None</t>
        </is>
      </c>
      <c r="O3" s="8" t="inlineStr">
        <is>
          <t>High FCF and zero debt</t>
        </is>
      </c>
      <c r="P3" s="8" t="n">
        <v>18.6</v>
      </c>
      <c r="Q3" s="8" t="n">
        <v>2.33</v>
      </c>
      <c r="R3" s="8" t="n">
        <v>1.66</v>
      </c>
      <c r="S3" s="8" t="n">
        <v>11.19837492367282</v>
      </c>
      <c r="T3" s="8" t="n">
        <v>45.36403694758384</v>
      </c>
      <c r="U3" s="8" t="n">
        <v>55.18121490556407</v>
      </c>
      <c r="V3" s="8" t="n">
        <v>0.11</v>
      </c>
      <c r="W3" s="8" t="n">
        <v>6.38848838513359</v>
      </c>
      <c r="X3" s="8" t="n">
        <v>6</v>
      </c>
      <c r="Y3" s="8" t="n">
        <v>8</v>
      </c>
      <c r="Z3" s="8" t="n"/>
      <c r="AA3" s="8" t="n"/>
      <c r="AB3" s="8" t="n"/>
      <c r="AC3" s="8" t="n"/>
      <c r="AD3" s="8" t="n"/>
      <c r="AE3" s="8" t="inlineStr">
        <is>
          <t>Complete</t>
        </is>
      </c>
      <c r="AF3" s="8" t="inlineStr">
        <is>
          <t>Jul-2026</t>
        </is>
      </c>
      <c r="AG3" s="8" t="inlineStr">
        <is>
          <t>Oct-2026</t>
        </is>
      </c>
      <c r="AH3" s="9" t="n">
        <v>2310.507247880147</v>
      </c>
      <c r="AI3" s="10" t="n">
        <v>1983</v>
      </c>
      <c r="AJ3" s="9" t="n">
        <v>2888.134059850184</v>
      </c>
      <c r="AK3" s="11" t="n">
        <v>28.76023213040434</v>
      </c>
      <c r="AL3" s="8" t="n">
        <v>8.498507490158261</v>
      </c>
      <c r="AM3" s="12" t="n">
        <v>84985.07490158261</v>
      </c>
      <c r="AN3" s="8" t="inlineStr">
        <is>
          <t>Core</t>
        </is>
      </c>
      <c r="AO3" s="8" t="inlineStr">
        <is>
          <t>AI &amp; digital</t>
        </is>
      </c>
      <c r="AP3" s="8" t="inlineStr">
        <is>
          <t>Validated</t>
        </is>
      </c>
      <c r="AQ3" s="8" t="inlineStr">
        <is>
          <t>See structured fields (Thesis / Risks / Valuation / Trigger / Sources) for detail.</t>
        </is>
      </c>
      <c r="AR3" s="8" t="inlineStr">
        <is>
          <t>Largest Indian IT services franchise; AI-services growth narrative; deep valuation discount vs peers.</t>
        </is>
      </c>
      <c r="AS3" s="8" t="inlineStr">
        <is>
          <t>ROE/ROCE not independently re-verified this session (pending); global IT spending slowdown; stock down ~55% off ATH signals sentiment risk.</t>
        </is>
      </c>
      <c r="AT3" s="8" t="inlineStr">
        <is>
          <t>P/E ~18.6x vs Coforge ~36-38x; trading ~Rs.2,050-2,100 vs Aug-2024 ATH Rs.4,592.</t>
        </is>
      </c>
      <c r="AU3" s="8" t="inlineStr">
        <is>
          <t>Verify current ROE/ROCE from primary source.</t>
        </is>
      </c>
      <c r="AV3" s="8" t="inlineStr">
        <is>
          <t>Session verification, Jul-2026 (ROE/ROCE pending).</t>
        </is>
      </c>
      <c r="AW3" s="13" t="n">
        <v>136.039997015385</v>
      </c>
      <c r="AX3" s="13" t="n">
        <v>25</v>
      </c>
      <c r="AY3" s="23" t="n">
        <v>21.23003572368556</v>
      </c>
      <c r="AZ3" s="23" t="n">
        <v>5.92</v>
      </c>
      <c r="BA3" s="23" t="n"/>
      <c r="BB3" s="23" t="n">
        <v>15.1242285</v>
      </c>
      <c r="BC3" s="23" t="n"/>
      <c r="BD3" s="23" t="n">
        <v>100</v>
      </c>
      <c r="BE3" s="23" t="n">
        <v>10.40118733752466</v>
      </c>
      <c r="BF3" s="23" t="n">
        <v>100</v>
      </c>
      <c r="BG3" s="23" t="n"/>
      <c r="BH3" s="23" t="inlineStr">
        <is>
          <t>OK</t>
        </is>
      </c>
      <c r="BI3" s="23" t="inlineStr">
        <is>
          <t>Strong Buy</t>
        </is>
      </c>
      <c r="BM3" t="inlineStr">
        <is>
          <t>Undervalued</t>
        </is>
      </c>
    </row>
    <row r="4" ht="15" customHeight="1">
      <c r="A4" s="8" t="n">
        <v>3</v>
      </c>
      <c r="B4" s="8" t="inlineStr">
        <is>
          <t>Lupin</t>
        </is>
      </c>
      <c r="C4" s="8" t="inlineStr">
        <is>
          <t>LUPIN.NS</t>
        </is>
      </c>
      <c r="D4" s="8" t="inlineStr">
        <is>
          <t>Healthcare</t>
        </is>
      </c>
      <c r="E4" s="8" t="inlineStr">
        <is>
          <t>Pharma</t>
        </is>
      </c>
      <c r="F4" s="8" t="n">
        <v>1124334829568</v>
      </c>
      <c r="G4" s="8" t="inlineStr">
        <is>
          <t>Core</t>
        </is>
      </c>
      <c r="H4" s="8" t="inlineStr">
        <is>
          <t>Pass</t>
        </is>
      </c>
      <c r="I4" s="8" t="n">
        <v>94</v>
      </c>
      <c r="J4" s="8" t="n">
        <v>69.98637920015651</v>
      </c>
      <c r="K4" s="8" t="n">
        <v>94</v>
      </c>
      <c r="L4" s="8" t="n">
        <v>100</v>
      </c>
      <c r="M4" s="8" t="inlineStr">
        <is>
          <t>Low - minor pipeline monitoring</t>
        </is>
      </c>
      <c r="N4" s="8" t="inlineStr">
        <is>
          <t>None</t>
        </is>
      </c>
      <c r="O4" s="8" t="inlineStr">
        <is>
          <t>Turnaround</t>
        </is>
      </c>
      <c r="P4" s="8" t="n">
        <v>21</v>
      </c>
      <c r="Q4" s="8" t="n">
        <v>0.57</v>
      </c>
      <c r="R4" s="8" t="n">
        <v>0.5600000000000001</v>
      </c>
      <c r="S4" s="8" t="n">
        <v>7.829358020807081</v>
      </c>
      <c r="T4" s="8" t="n">
        <v>23.68743551054329</v>
      </c>
      <c r="U4" s="8" t="n">
        <v>57.09642255321019</v>
      </c>
      <c r="V4" s="8" t="n">
        <v>0.29</v>
      </c>
      <c r="W4" s="8" t="n">
        <v>4.593115510849442</v>
      </c>
      <c r="X4" s="8" t="n">
        <v>23</v>
      </c>
      <c r="Y4" s="8" t="n">
        <v>37</v>
      </c>
      <c r="Z4" s="8" t="n"/>
      <c r="AA4" s="8" t="n"/>
      <c r="AB4" s="8" t="n"/>
      <c r="AC4" s="8" t="n"/>
      <c r="AD4" s="8" t="n"/>
      <c r="AE4" s="8" t="inlineStr">
        <is>
          <t>Complete</t>
        </is>
      </c>
      <c r="AF4" s="8" t="inlineStr">
        <is>
          <t>Jul-2026</t>
        </is>
      </c>
      <c r="AG4" s="8" t="inlineStr">
        <is>
          <t>Oct-2026</t>
        </is>
      </c>
      <c r="AH4" s="9" t="n">
        <v>2080.374486953877</v>
      </c>
      <c r="AI4" s="10" t="n">
        <v>2476</v>
      </c>
      <c r="AJ4" s="9" t="n">
        <v>2600.468108692347</v>
      </c>
      <c r="AK4" s="11" t="n">
        <v>5.440101657831296</v>
      </c>
      <c r="AL4" s="8" t="n">
        <v>6.966914195433777</v>
      </c>
      <c r="AM4" s="12" t="n">
        <v>69669.14195433777</v>
      </c>
      <c r="AN4" s="8" t="inlineStr">
        <is>
          <t>Core</t>
        </is>
      </c>
      <c r="AO4" s="8" t="inlineStr">
        <is>
          <t>USFDA compliance</t>
        </is>
      </c>
      <c r="AP4" s="8" t="inlineStr">
        <is>
          <t>Established</t>
        </is>
      </c>
      <c r="AQ4" s="8" t="inlineStr">
        <is>
          <t>See structured fields (Thesis / Risks / Valuation / Trigger / Sources) for detail.</t>
        </is>
      </c>
      <c r="AR4" s="8" t="inlineStr">
        <is>
          <t>Pharma turnaround story; margin expansion from product mix-shift; strengthening balance sheet.</t>
        </is>
      </c>
      <c r="AS4" s="8" t="inlineStr">
        <is>
          <t>ROE/P/E figure sourced from unverified ML screen; mix-shift durability unconfirmed.</t>
        </is>
      </c>
      <c r="AT4" s="8" t="inlineStr">
        <is>
          <t>ROCE 28.4%; revenue growth 23% (FY26); Q4 FY26 gross margin 75% (up from 61.7% YoY); net cash ~Rs.4,600cr.</t>
        </is>
      </c>
      <c r="AU4" s="8" t="inlineStr">
        <is>
          <t>Confirm ROE/P/E against primary source (currently ML-screen only).</t>
        </is>
      </c>
      <c r="AV4" s="8" t="inlineStr">
        <is>
          <t>FY26 results search this session, Jul-2026; ROE/P/E via ML Alpha screen (unverified).</t>
        </is>
      </c>
      <c r="AW4" s="13" t="n">
        <v>116.5399971526136</v>
      </c>
      <c r="AX4" s="13" t="n">
        <v>24.1328883</v>
      </c>
      <c r="AY4" s="23" t="n">
        <v>22.31395322372015</v>
      </c>
      <c r="AZ4" s="23" t="n">
        <v>0.48</v>
      </c>
      <c r="BA4" s="23" t="n"/>
      <c r="BB4" s="23" t="n">
        <v>21.100052</v>
      </c>
      <c r="BC4" s="23" t="n"/>
      <c r="BD4" s="23" t="n">
        <v>100</v>
      </c>
      <c r="BE4" s="23" t="n">
        <v>29.3877815715728</v>
      </c>
      <c r="BF4" s="23" t="n">
        <v>100</v>
      </c>
      <c r="BG4" s="23" t="n"/>
      <c r="BH4" s="23" t="inlineStr">
        <is>
          <t>OK</t>
        </is>
      </c>
      <c r="BI4" s="23" t="inlineStr">
        <is>
          <t>Buy</t>
        </is>
      </c>
      <c r="BM4" t="inlineStr">
        <is>
          <t>Fair Value</t>
        </is>
      </c>
    </row>
    <row r="5" ht="15" customHeight="1">
      <c r="A5" s="8" t="n">
        <v>4</v>
      </c>
      <c r="B5" s="8" t="inlineStr">
        <is>
          <t>Nesco</t>
        </is>
      </c>
      <c r="C5" s="8" t="inlineStr">
        <is>
          <t>NESCO.NS</t>
        </is>
      </c>
      <c r="D5" s="8" t="inlineStr">
        <is>
          <t>Real Estate</t>
        </is>
      </c>
      <c r="E5" s="8" t="inlineStr">
        <is>
          <t>Commercial</t>
        </is>
      </c>
      <c r="F5" s="8" t="n">
        <v>77266386944</v>
      </c>
      <c r="G5" s="8" t="inlineStr">
        <is>
          <t>Core</t>
        </is>
      </c>
      <c r="H5" s="8" t="inlineStr">
        <is>
          <t>Pass</t>
        </is>
      </c>
      <c r="I5" s="8" t="n">
        <v>45</v>
      </c>
      <c r="J5" s="8" t="n">
        <v>20.45966520047256</v>
      </c>
      <c r="K5" s="8" t="n">
        <v>92</v>
      </c>
      <c r="L5" s="8" t="n">
        <v>100</v>
      </c>
      <c r="M5" s="8" t="inlineStr">
        <is>
          <t>Low - stable annuity economics</t>
        </is>
      </c>
      <c r="N5" s="8" t="inlineStr">
        <is>
          <t>None</t>
        </is>
      </c>
      <c r="O5" s="8" t="inlineStr">
        <is>
          <t>Asset-backed cash flow</t>
        </is>
      </c>
      <c r="P5" s="8" t="n">
        <v>19.8</v>
      </c>
      <c r="Q5" s="8" t="n">
        <v>1.24</v>
      </c>
      <c r="R5" s="8" t="n">
        <v>1.2</v>
      </c>
      <c r="S5" s="8" t="n"/>
      <c r="T5" s="8" t="n">
        <v>13.77443749541119</v>
      </c>
      <c r="U5" s="8" t="n">
        <v>12.94457483300235</v>
      </c>
      <c r="V5" s="8" t="n">
        <v>0</v>
      </c>
      <c r="W5" s="8" t="n"/>
      <c r="X5" s="8" t="n">
        <v>13</v>
      </c>
      <c r="Y5" s="8" t="n">
        <v>16</v>
      </c>
      <c r="Z5" s="8" t="n"/>
      <c r="AA5" s="8" t="n"/>
      <c r="AB5" s="8" t="n"/>
      <c r="AC5" s="8" t="n"/>
      <c r="AD5" s="8" t="n"/>
      <c r="AE5" s="8" t="inlineStr">
        <is>
          <t>Complete</t>
        </is>
      </c>
      <c r="AF5" s="8" t="inlineStr">
        <is>
          <t>Jul-2026</t>
        </is>
      </c>
      <c r="AG5" s="8" t="inlineStr">
        <is>
          <t>Oct-2026</t>
        </is>
      </c>
      <c r="AH5" s="9" t="n">
        <v>374.6128220556247</v>
      </c>
      <c r="AI5" s="10" t="n">
        <v>1149</v>
      </c>
      <c r="AJ5" s="9" t="n">
        <v>468.2660275695309</v>
      </c>
      <c r="AK5" s="11" t="n">
        <v>-134.1831214388428</v>
      </c>
      <c r="AL5" s="8" t="n">
        <v>2.036692475707844</v>
      </c>
      <c r="AM5" s="12" t="n">
        <v>20366.92475707844</v>
      </c>
      <c r="AN5" s="8" t="inlineStr">
        <is>
          <t>Core</t>
        </is>
      </c>
      <c r="AO5" s="8" t="inlineStr">
        <is>
          <t>Occupancy</t>
        </is>
      </c>
      <c r="AP5" s="8" t="inlineStr">
        <is>
          <t>Established</t>
        </is>
      </c>
      <c r="AQ5" s="8" t="inlineStr">
        <is>
          <t>See structured fields (Thesis / Risks / Valuation / Trigger / Sources) for detail.</t>
        </is>
      </c>
      <c r="AR5" s="8" t="inlineStr">
        <is>
          <t>Zero-debt commercial real estate/exhibition-center operator; high-margin annuity-like business.</t>
        </is>
      </c>
      <c r="AS5" s="8" t="inlineStr">
        <is>
          <t>Current P/E, ROE, revenue growth not independently pulled - re-rating risk unassessed.</t>
        </is>
      </c>
      <c r="AT5" s="8" t="inlineStr">
        <is>
          <t>ROCE ~20-22%; operating margins ~60%; zero debt.</t>
        </is>
      </c>
      <c r="AU5" s="8" t="inlineStr">
        <is>
          <t>Pull current P/E/ROE/revenue growth from primary source.</t>
        </is>
      </c>
      <c r="AV5" s="8" t="inlineStr">
        <is>
          <t>Multiple sources this session, Jul-2026 (P/E/ROE/growth pending).</t>
        </is>
      </c>
      <c r="AW5" s="13" t="n">
        <v>58.54000188976479</v>
      </c>
      <c r="AX5" s="13" t="n">
        <v>10</v>
      </c>
      <c r="AY5" s="23" t="n">
        <v>7.999078024761375</v>
      </c>
      <c r="AZ5" s="23" t="n">
        <v>0.61</v>
      </c>
      <c r="BA5" s="23" t="n"/>
      <c r="BB5" s="23" t="n">
        <v>18.73249</v>
      </c>
      <c r="BC5" s="23" t="n"/>
      <c r="BD5" s="23" t="n">
        <v>100</v>
      </c>
      <c r="BE5" s="23" t="n">
        <v>9.068154664566382</v>
      </c>
      <c r="BF5" s="23" t="n">
        <v>100</v>
      </c>
      <c r="BG5" s="23" t="n"/>
      <c r="BH5" s="23" t="inlineStr">
        <is>
          <t>OK</t>
        </is>
      </c>
      <c r="BI5" s="23" t="inlineStr">
        <is>
          <t>Avoid</t>
        </is>
      </c>
      <c r="BM5" t="inlineStr">
        <is>
          <t>Extremely Overvalued</t>
        </is>
      </c>
    </row>
    <row r="6" ht="15" customHeight="1">
      <c r="A6" s="8" t="n">
        <v>5</v>
      </c>
      <c r="B6" s="8" t="inlineStr">
        <is>
          <t>Persistent Systems</t>
        </is>
      </c>
      <c r="C6" s="8" t="inlineStr">
        <is>
          <t>PERSISTENT.NS</t>
        </is>
      </c>
      <c r="D6" s="8" t="inlineStr">
        <is>
          <t>IT</t>
        </is>
      </c>
      <c r="E6" s="8" t="inlineStr">
        <is>
          <t>Software</t>
        </is>
      </c>
      <c r="F6" s="8" t="n">
        <v>745143926784</v>
      </c>
      <c r="G6" s="8" t="inlineStr">
        <is>
          <t>Bench</t>
        </is>
      </c>
      <c r="H6" s="8" t="inlineStr">
        <is>
          <t>Pass</t>
        </is>
      </c>
      <c r="I6" s="8" t="n">
        <v>85</v>
      </c>
      <c r="J6" s="8" t="n">
        <v>39.91108504814136</v>
      </c>
      <c r="K6" s="8" t="n">
        <v>90</v>
      </c>
      <c r="L6" s="8" t="n">
        <v>100</v>
      </c>
      <c r="M6" s="8" t="inlineStr">
        <is>
          <t>Low - thesis proven, monitor Nagarro integration</t>
        </is>
      </c>
      <c r="N6" s="8" t="inlineStr">
        <is>
          <t>Active</t>
        </is>
      </c>
      <c r="O6" s="8" t="inlineStr">
        <is>
          <t>IT services, US$1bn+ revenue, active M&amp;A strategy</t>
        </is>
      </c>
      <c r="P6" s="8" t="n">
        <v>38.7</v>
      </c>
      <c r="Q6" s="8" t="n">
        <v>1.06</v>
      </c>
      <c r="R6" s="8" t="n">
        <v>1.04</v>
      </c>
      <c r="S6" s="8" t="n">
        <v>30.89535713517239</v>
      </c>
      <c r="T6" s="8" t="n">
        <v>23.79630651498401</v>
      </c>
      <c r="U6" s="8" t="n">
        <v>28.30586227066565</v>
      </c>
      <c r="V6" s="8" t="n">
        <v>0.06</v>
      </c>
      <c r="W6" s="8" t="n">
        <v>2.108514370282366</v>
      </c>
      <c r="X6" s="8" t="n">
        <v>19.6</v>
      </c>
      <c r="Y6" s="8" t="n">
        <v>35.9</v>
      </c>
      <c r="Z6" s="8" t="n"/>
      <c r="AA6" s="8" t="n"/>
      <c r="AB6" s="8" t="n"/>
      <c r="AC6" s="8" t="n"/>
      <c r="AD6" s="8" t="n"/>
      <c r="AE6" s="8" t="inlineStr">
        <is>
          <t>Pending</t>
        </is>
      </c>
      <c r="AF6" s="8" t="inlineStr">
        <is>
          <t>Jul-2026</t>
        </is>
      </c>
      <c r="AG6" s="8" t="inlineStr">
        <is>
          <t>Oct-2026</t>
        </is>
      </c>
      <c r="AH6" s="9" t="n">
        <v>1580.947270717989</v>
      </c>
      <c r="AI6" s="10" t="n">
        <v>4683</v>
      </c>
      <c r="AJ6" s="9" t="n">
        <v>1976.184088397486</v>
      </c>
      <c r="AK6" s="11" t="n">
        <v>-141.3489729019957</v>
      </c>
      <c r="AL6" s="15" t="n">
        <v>3.973017437890814</v>
      </c>
      <c r="AM6" s="12" t="n">
        <v>39730.17437890814</v>
      </c>
      <c r="AN6" s="8" t="inlineStr">
        <is>
          <t>Bench</t>
        </is>
      </c>
      <c r="AO6" s="8" t="inlineStr">
        <is>
          <t>Integration</t>
        </is>
      </c>
      <c r="AP6" s="8" t="inlineStr">
        <is>
          <t>Developing</t>
        </is>
      </c>
      <c r="AQ6" s="8" t="inlineStr">
        <is>
          <t>See structured fields (Thesis / Risks / Valuation / Trigger / Sources) for detail.</t>
        </is>
      </c>
      <c r="AR6" s="8" t="inlineStr">
        <is>
          <t>IT services + Nagarro-style digital engineering growth compounder; historically high ROCE.</t>
        </is>
      </c>
      <c r="AS6" s="8" t="inlineStr">
        <is>
          <t>Nagarro acquisition integration risk - do not score until integration clarity.</t>
        </is>
      </c>
      <c r="AT6" s="8" t="inlineStr">
        <is>
          <t>P/E 38.7x; 3yr ROE 25.4%; net debt-free; ROCE ~20% and rising (exact current figure pending); 10yr median sales growth 19.6%.</t>
        </is>
      </c>
      <c r="AU6" s="8" t="inlineStr">
        <is>
          <t>Nagarro integration clarity before scoring.</t>
        </is>
      </c>
      <c r="AV6" s="8" t="inlineStr">
        <is>
          <t>Verified 2026-07 (Tijori + others).</t>
        </is>
      </c>
      <c r="AW6" s="13" t="n">
        <v>118.6999967397632</v>
      </c>
      <c r="AX6" s="13" t="n">
        <v>18.14655820438004</v>
      </c>
      <c r="AY6" s="23" t="n">
        <v>16.64856013814226</v>
      </c>
      <c r="AZ6" s="23" t="n">
        <v>0.9</v>
      </c>
      <c r="BA6" s="23" t="n"/>
      <c r="BB6" s="23" t="n">
        <v>40.18113</v>
      </c>
      <c r="BC6" s="23" t="n"/>
      <c r="BD6" s="23" t="n">
        <v>100</v>
      </c>
      <c r="BE6" s="23" t="n">
        <v>6.091564592608564</v>
      </c>
      <c r="BF6" s="23" t="n">
        <v>100</v>
      </c>
      <c r="BG6" s="23" t="n"/>
      <c r="BH6" s="23" t="inlineStr">
        <is>
          <t>OK</t>
        </is>
      </c>
      <c r="BI6" s="23" t="inlineStr">
        <is>
          <t>Watch (Quality, Pricey)</t>
        </is>
      </c>
      <c r="BM6" t="inlineStr">
        <is>
          <t>Extremely Overvalued</t>
        </is>
      </c>
    </row>
    <row r="7" ht="15" customHeight="1">
      <c r="A7" s="8" t="n">
        <v>6</v>
      </c>
      <c r="B7" s="8" t="inlineStr">
        <is>
          <t>RR Kabel</t>
        </is>
      </c>
      <c r="C7" s="8" t="inlineStr">
        <is>
          <t>RRKABEL.NS</t>
        </is>
      </c>
      <c r="D7" s="8" t="inlineStr">
        <is>
          <t>Consumer Discretionary</t>
        </is>
      </c>
      <c r="E7" s="8" t="inlineStr">
        <is>
          <t>Wires &amp; Cables / FMEG</t>
        </is>
      </c>
      <c r="F7" s="8" t="n">
        <v>247531388928</v>
      </c>
      <c r="G7" s="8" t="inlineStr">
        <is>
          <t>Research</t>
        </is>
      </c>
      <c r="H7" s="8" t="inlineStr">
        <is>
          <t>Pass</t>
        </is>
      </c>
      <c r="I7" s="15" t="n">
        <v>58.5</v>
      </c>
      <c r="J7" s="15" t="n">
        <v>25.42073355619692</v>
      </c>
      <c r="K7" s="8" t="n">
        <v>70</v>
      </c>
      <c r="L7" s="8" t="n">
        <v>100</v>
      </c>
      <c r="M7" s="8" t="inlineStr">
        <is>
          <t>Medium - confirm FY27 EPS growth guidance (~11%)</t>
        </is>
      </c>
      <c r="N7" s="8" t="inlineStr">
        <is>
          <t>None</t>
        </is>
      </c>
      <c r="O7" s="8" t="inlineStr">
        <is>
          <t>Cables &amp; FMEG manufacturer; strong brand, electrification tailwind</t>
        </is>
      </c>
      <c r="P7" s="8" t="n">
        <v>46</v>
      </c>
      <c r="Q7" s="8" t="n">
        <v>0.74</v>
      </c>
      <c r="R7" s="8" t="n">
        <v>4.07</v>
      </c>
      <c r="S7" s="8" t="n"/>
      <c r="T7" s="8" t="n">
        <v>19.11976068675267</v>
      </c>
      <c r="U7" s="8" t="n">
        <v>25.47686089361172</v>
      </c>
      <c r="V7" s="8" t="n">
        <v>0.08</v>
      </c>
      <c r="W7" s="8" t="n"/>
      <c r="X7" s="8" t="n">
        <v>28</v>
      </c>
      <c r="Y7" s="8" t="n">
        <v>11</v>
      </c>
      <c r="Z7" s="8" t="n"/>
      <c r="AA7" s="8" t="n"/>
      <c r="AB7" s="8" t="n"/>
      <c r="AC7" s="8" t="n"/>
      <c r="AD7" s="8" t="n"/>
      <c r="AE7" s="8" t="inlineStr">
        <is>
          <t>Not started</t>
        </is>
      </c>
      <c r="AF7" s="8" t="inlineStr">
        <is>
          <t>Jul-2026</t>
        </is>
      </c>
      <c r="AG7" s="8" t="inlineStr">
        <is>
          <t>Oct-2026</t>
        </is>
      </c>
      <c r="AH7" s="9" t="n">
        <v>193.0624976079974</v>
      </c>
      <c r="AI7" s="10" t="n">
        <v>2450</v>
      </c>
      <c r="AJ7" s="9" t="n">
        <v>241.3281220099968</v>
      </c>
      <c r="AK7" s="11" t="n">
        <v>-806.8565991282787</v>
      </c>
      <c r="AL7" s="15" t="n">
        <v>2.530550537048101</v>
      </c>
      <c r="AM7" s="12" t="n">
        <v>25305.50537048101</v>
      </c>
      <c r="AN7" s="8" t="inlineStr">
        <is>
          <t>Research</t>
        </is>
      </c>
      <c r="AO7" s="8" t="inlineStr">
        <is>
          <t>Watch</t>
        </is>
      </c>
      <c r="AP7" s="8" t="inlineStr">
        <is>
          <t>Early</t>
        </is>
      </c>
      <c r="AQ7" s="8" t="inlineStr">
        <is>
          <t>See structured fields (Thesis / Risks / Valuation / Trigger / Sources) for detail.</t>
        </is>
      </c>
      <c r="AR7" s="8" t="inlineStr">
        <is>
          <t>Wire &amp; cable manufacturer; strong ROE/ROCE; zero long-term debt; no promoter pledge.</t>
        </is>
      </c>
      <c r="AS7" s="8" t="inlineStr">
        <is>
          <t>Richly valued relative to own history (downgraded Fair-from-Attractive Oct-2025); recent all-time-high raises valuation-discipline concern.</t>
        </is>
      </c>
      <c r="AT7" s="8" t="inlineStr">
        <is>
          <t>P/E ~46x (peer median ~50x); ROE 19.7%; ROCE 20.47% avg; PEG 0.74; net D/E 0.08; 5yr rev CAGR 15.1%, TTM growth 28%.</t>
        </is>
      </c>
      <c r="AU7" s="8" t="inlineStr">
        <is>
          <t>Valuation-discipline check before promotion (Business Confidence pending).</t>
        </is>
      </c>
      <c r="AV7" s="8" t="inlineStr">
        <is>
          <t>Verified 2026-07.</t>
        </is>
      </c>
      <c r="AW7" s="13" t="n">
        <v>43.58999945624538</v>
      </c>
      <c r="AX7" s="13" t="n">
        <v>17.2376802</v>
      </c>
      <c r="AY7" s="23" t="n">
        <v>5.536318467767763</v>
      </c>
      <c r="AZ7" s="23" t="n">
        <v>0.5</v>
      </c>
      <c r="BA7" s="23" t="n"/>
      <c r="BB7" s="23" t="n">
        <v>50.20647</v>
      </c>
      <c r="BC7" s="23" t="n"/>
      <c r="BD7" s="23" t="n">
        <v>100</v>
      </c>
      <c r="BE7" s="23" t="n">
        <v>13.09150920958317</v>
      </c>
      <c r="BF7" s="23" t="n">
        <v>100</v>
      </c>
      <c r="BG7" s="23" t="n"/>
      <c r="BH7" s="23" t="inlineStr">
        <is>
          <t>OK</t>
        </is>
      </c>
      <c r="BI7" s="23" t="inlineStr">
        <is>
          <t>Avoid</t>
        </is>
      </c>
      <c r="BM7" t="inlineStr">
        <is>
          <t>Extremely Overvalued</t>
        </is>
      </c>
    </row>
    <row r="8" ht="15" customHeight="1">
      <c r="A8" s="8" t="n">
        <v>7</v>
      </c>
      <c r="B8" s="8" t="inlineStr">
        <is>
          <t>Cummins India</t>
        </is>
      </c>
      <c r="C8" s="8" t="inlineStr">
        <is>
          <t>CUMMINSIND.NS</t>
        </is>
      </c>
      <c r="D8" s="8" t="inlineStr">
        <is>
          <t>Industrials</t>
        </is>
      </c>
      <c r="E8" s="8" t="inlineStr">
        <is>
          <t>Compressors/Diesel Engines</t>
        </is>
      </c>
      <c r="F8" s="8" t="n">
        <v>1524184252416</v>
      </c>
      <c r="G8" s="8" t="inlineStr">
        <is>
          <t>Research</t>
        </is>
      </c>
      <c r="H8" s="8" t="inlineStr">
        <is>
          <t>Pass</t>
        </is>
      </c>
      <c r="I8" s="15" t="n">
        <v>89.5</v>
      </c>
      <c r="J8" s="15" t="n">
        <v>44.55722222353324</v>
      </c>
      <c r="K8" s="8" t="n">
        <v>80</v>
      </c>
      <c r="L8" s="8" t="n">
        <v>100</v>
      </c>
      <c r="M8" s="8" t="inlineStr">
        <is>
          <t>Low - monitor quarterly, high valuation</t>
        </is>
      </c>
      <c r="N8" s="8" t="inlineStr">
        <is>
          <t>None</t>
        </is>
      </c>
      <c r="O8" s="8" t="inlineStr">
        <is>
          <t>Diesel/alt-fuel engines &amp; gensets; 51% Cummins Inc-backed, near debt-free, high-ROCE compounder</t>
        </is>
      </c>
      <c r="P8" s="8" t="n">
        <v>64.3</v>
      </c>
      <c r="Q8" s="8" t="n">
        <v>2.09</v>
      </c>
      <c r="R8" s="8" t="n">
        <v>2.05</v>
      </c>
      <c r="S8" s="8" t="n">
        <v>63.41098973088238</v>
      </c>
      <c r="T8" s="8" t="n">
        <v>27.86673053960043</v>
      </c>
      <c r="U8" s="8" t="n">
        <v>27.03307909856269</v>
      </c>
      <c r="V8" s="8" t="n">
        <v>0.003</v>
      </c>
      <c r="W8" s="8" t="n">
        <v>0.9756511660565308</v>
      </c>
      <c r="X8" s="8" t="n">
        <v>13</v>
      </c>
      <c r="Y8" s="8" t="n">
        <v>30.8</v>
      </c>
      <c r="Z8" s="8" t="n"/>
      <c r="AA8" s="8" t="n"/>
      <c r="AB8" s="8" t="n"/>
      <c r="AC8" s="8" t="n"/>
      <c r="AD8" s="8" t="n"/>
      <c r="AE8" s="8" t="inlineStr">
        <is>
          <t>Not started</t>
        </is>
      </c>
      <c r="AF8" s="8" t="inlineStr">
        <is>
          <t>Jul-2026</t>
        </is>
      </c>
      <c r="AG8" s="8" t="inlineStr">
        <is>
          <t>Oct-2026</t>
        </is>
      </c>
      <c r="AH8" s="9" t="n">
        <v>739.3485718840109</v>
      </c>
      <c r="AI8" s="10" t="n">
        <v>5478</v>
      </c>
      <c r="AJ8" s="9" t="n">
        <v>924.1857148550135</v>
      </c>
      <c r="AK8" s="11" t="n">
        <v>-494.9561772725091</v>
      </c>
      <c r="AL8" s="15" t="n">
        <v>4.435525134546993</v>
      </c>
      <c r="AM8" s="12" t="n">
        <v>44355.25134546993</v>
      </c>
      <c r="AN8" s="8" t="inlineStr">
        <is>
          <t>Research</t>
        </is>
      </c>
      <c r="AO8" s="8" t="inlineStr">
        <is>
          <t>Watch</t>
        </is>
      </c>
      <c r="AP8" s="8" t="inlineStr">
        <is>
          <t>Early</t>
        </is>
      </c>
      <c r="AQ8" s="8" t="inlineStr">
        <is>
          <t>See structured fields (Thesis / Risks / Valuation / Trigger / Sources) for detail.</t>
        </is>
      </c>
      <c r="AR8" s="8" t="inlineStr">
        <is>
          <t>Diesel/alt-fuel engines &amp; gensets; 51% Cummins Inc-backed; high-ROCE compounder.</t>
        </is>
      </c>
      <c r="AS8" s="8" t="inlineStr">
        <is>
          <t>Valuation re-rated hard (+95% 1yr) - entry discipline needed; PEG likely expensive given re-rating.</t>
        </is>
      </c>
      <c r="AT8" s="8" t="inlineStr">
        <is>
          <t>P/E 64.3x; ROCE 36.3%; ROE 28.2% (3yr 26.3%); near debt-free; 5yr sales growth 15%, TTM 13%; 5yr profit CAGR 22% (3yr 35%).</t>
        </is>
      </c>
      <c r="AU8" s="8" t="inlineStr">
        <is>
          <t>Entry-price discipline check before promotion; DC/BC not yet scored.</t>
        </is>
      </c>
      <c r="AV8" s="8" t="inlineStr">
        <is>
          <t>Verified 2026-07 (Screener).</t>
        </is>
      </c>
      <c r="AW8" s="13" t="n">
        <v>85.36000935179952</v>
      </c>
      <c r="AX8" s="13" t="n">
        <v>10</v>
      </c>
      <c r="AY8" s="23" t="n">
        <v>10.82691793410278</v>
      </c>
      <c r="AZ8" s="23" t="n">
        <v>1.21</v>
      </c>
      <c r="BA8" s="23" t="n"/>
      <c r="BB8" s="23" t="n">
        <v>64.41540999999999</v>
      </c>
      <c r="BC8" s="23" t="n"/>
      <c r="BD8" s="23" t="n">
        <v>100</v>
      </c>
      <c r="BE8" s="23" t="n">
        <v>0.4307883273000156</v>
      </c>
      <c r="BF8" s="23" t="n">
        <v>100</v>
      </c>
      <c r="BG8" s="23" t="n"/>
      <c r="BH8" s="23" t="inlineStr">
        <is>
          <t>OK</t>
        </is>
      </c>
      <c r="BI8" s="23" t="inlineStr">
        <is>
          <t>Watch (Quality, Pricey)</t>
        </is>
      </c>
      <c r="BM8" t="inlineStr">
        <is>
          <t>Extremely Overvalued</t>
        </is>
      </c>
    </row>
    <row r="9" ht="15" customHeight="1">
      <c r="A9" s="8" t="n">
        <v>8</v>
      </c>
      <c r="B9" s="8" t="inlineStr">
        <is>
          <t>MTAR Technologies</t>
        </is>
      </c>
      <c r="C9" s="8" t="inlineStr">
        <is>
          <t>MTARTECH.NS</t>
        </is>
      </c>
      <c r="D9" s="8" t="inlineStr">
        <is>
          <t>Industrials</t>
        </is>
      </c>
      <c r="E9" s="8" t="inlineStr">
        <is>
          <t>Capital Goods - Precision Engineering (Defence/Space/Nuclear)</t>
        </is>
      </c>
      <c r="F9" s="8" t="n">
        <v>209980358656</v>
      </c>
      <c r="G9" s="8" t="inlineStr">
        <is>
          <t>Research</t>
        </is>
      </c>
      <c r="H9" s="8" t="inlineStr">
        <is>
          <t>Fail</t>
        </is>
      </c>
      <c r="I9" s="8" t="n">
        <v>44.5</v>
      </c>
      <c r="J9" s="8" t="n">
        <v>12.06436462039881</v>
      </c>
      <c r="K9" s="8" t="n">
        <v>55</v>
      </c>
      <c r="L9" s="8" t="n">
        <v>100</v>
      </c>
      <c r="M9" s="8" t="inlineStr">
        <is>
          <t>Low - high valuation, weak ROE/ROCE vs threshold</t>
        </is>
      </c>
      <c r="N9" s="8" t="inlineStr">
        <is>
          <t>None</t>
        </is>
      </c>
      <c r="O9" s="8" t="inlineStr">
        <is>
          <t>Precision components: nuclear, space, defense, clean energy</t>
        </is>
      </c>
      <c r="P9" s="8" t="n">
        <v>190</v>
      </c>
      <c r="Q9" s="8" t="n">
        <v>2.49</v>
      </c>
      <c r="R9" s="8" t="n">
        <v>2.49</v>
      </c>
      <c r="S9" s="8" t="n">
        <v>156.9499773507318</v>
      </c>
      <c r="T9" s="8" t="n">
        <v>11.43100972906209</v>
      </c>
      <c r="U9" s="8" t="n">
        <v>13.39591534803745</v>
      </c>
      <c r="V9" s="8" t="n">
        <v>0.3</v>
      </c>
      <c r="W9" s="8" t="n">
        <v>0.2961596810553887</v>
      </c>
      <c r="X9" s="8" t="n">
        <v>29.6</v>
      </c>
      <c r="Y9" s="8" t="n">
        <v>76.2</v>
      </c>
      <c r="Z9" s="8" t="n"/>
      <c r="AA9" s="8" t="n"/>
      <c r="AB9" s="8" t="n"/>
      <c r="AC9" s="8" t="n"/>
      <c r="AD9" s="8" t="n"/>
      <c r="AE9" s="8" t="inlineStr">
        <is>
          <t>Not started</t>
        </is>
      </c>
      <c r="AF9" s="8" t="inlineStr">
        <is>
          <t>Jul-2026</t>
        </is>
      </c>
      <c r="AG9" s="8" t="inlineStr">
        <is>
          <t>Jan-2027</t>
        </is>
      </c>
      <c r="AH9" s="9" t="n">
        <v>353.8605917395187</v>
      </c>
      <c r="AI9" s="10" t="n">
        <v>7034</v>
      </c>
      <c r="AJ9" s="9" t="n">
        <v>442.3257396743983</v>
      </c>
      <c r="AK9" s="11" t="n">
        <v>-1443.319637022497</v>
      </c>
      <c r="AL9" s="15" t="n">
        <v>1.200967875368491</v>
      </c>
      <c r="AM9" s="12" t="n">
        <v>12009.67875368491</v>
      </c>
      <c r="AN9" s="8" t="inlineStr">
        <is>
          <t>Research</t>
        </is>
      </c>
      <c r="AO9" s="8" t="inlineStr">
        <is>
          <t>Watch</t>
        </is>
      </c>
      <c r="AP9" s="8" t="inlineStr">
        <is>
          <t>Early</t>
        </is>
      </c>
      <c r="AQ9" s="8" t="inlineStr">
        <is>
          <t>See structured fields (Thesis / Risks / Valuation / Trigger / Sources) for detail.</t>
        </is>
      </c>
      <c r="AR9" s="8" t="inlineStr">
        <is>
          <t>AI/defense/clean-energy narrative stock.</t>
        </is>
      </c>
      <c r="AS9" s="8" t="inlineStr">
        <is>
          <t>Client concentration (Bloom Energy exposure); valuation entirely narrative-driven, not supported by returns.</t>
        </is>
      </c>
      <c r="AT9" s="8" t="inlineStr">
        <is>
          <t>P/E ~190-258x (peer median ~34x); ROE only 7.26%; ROCE only 11.16% - both fail 20% threshold.</t>
        </is>
      </c>
      <c r="AU9" s="8" t="inlineStr">
        <is>
          <t>N/A - excluded outright, fails core profitability gate.</t>
        </is>
      </c>
      <c r="AV9" s="8" t="inlineStr">
        <is>
          <t>Verified 2026-07.</t>
        </is>
      </c>
      <c r="AW9" s="13" t="n">
        <v>30.83000107531286</v>
      </c>
      <c r="AX9" s="13" t="n">
        <v>12.121</v>
      </c>
      <c r="AY9" s="23" t="n">
        <v>14.34725071924743</v>
      </c>
      <c r="AZ9" s="23" t="n"/>
      <c r="BA9" s="23" t="n"/>
      <c r="BB9" s="23" t="n">
        <v>221.42393</v>
      </c>
      <c r="BC9" s="23" t="n"/>
      <c r="BD9" s="23" t="n">
        <v>100</v>
      </c>
      <c r="BE9" s="23" t="n">
        <v>45.77813653753341</v>
      </c>
      <c r="BF9" s="23" t="n">
        <v>100</v>
      </c>
      <c r="BG9" s="23" t="n"/>
      <c r="BH9" s="23" t="inlineStr">
        <is>
          <t>OK</t>
        </is>
      </c>
      <c r="BI9" s="23" t="inlineStr">
        <is>
          <t>Avoid</t>
        </is>
      </c>
      <c r="BM9" t="inlineStr">
        <is>
          <t>Extremely Overvalued</t>
        </is>
      </c>
    </row>
    <row r="10" ht="15" customHeight="1">
      <c r="A10" s="8" t="n">
        <v>9</v>
      </c>
      <c r="B10" s="8" t="inlineStr">
        <is>
          <t>Aegis Logistics</t>
        </is>
      </c>
      <c r="C10" s="8" t="inlineStr">
        <is>
          <t>AEGISLOG.NS</t>
        </is>
      </c>
      <c r="D10" s="8" t="inlineStr">
        <is>
          <t>Energy</t>
        </is>
      </c>
      <c r="E10" s="8" t="inlineStr">
        <is>
          <t>Oil, Gas &amp; Consumable Fuels (LPG/Liquid Logistics)</t>
        </is>
      </c>
      <c r="F10" s="8" t="n">
        <v>437135409152</v>
      </c>
      <c r="G10" s="8" t="inlineStr">
        <is>
          <t>Research</t>
        </is>
      </c>
      <c r="H10" s="8" t="inlineStr">
        <is>
          <t>Conflict</t>
        </is>
      </c>
      <c r="I10" s="15" t="n">
        <v>27.5</v>
      </c>
      <c r="J10" s="15" t="n">
        <v>7.254144316236203</v>
      </c>
      <c r="K10" s="8" t="n">
        <v>55</v>
      </c>
      <c r="L10" s="8" t="n">
        <v>100</v>
      </c>
      <c r="M10" s="8" t="inlineStr">
        <is>
          <t>Blocked - resolve ROCE conflict (24.93% vs 15.37%) before scoring</t>
        </is>
      </c>
      <c r="N10" s="8" t="inlineStr">
        <is>
          <t>None</t>
        </is>
      </c>
      <c r="O10" s="8" t="inlineStr">
        <is>
          <t>LPG/gas logistics &amp; storage; infrastructure-like moat</t>
        </is>
      </c>
      <c r="P10" s="8" t="n">
        <v>39</v>
      </c>
      <c r="Q10" s="8" t="n">
        <v>1.18</v>
      </c>
      <c r="R10" s="8" t="n">
        <v>1.13</v>
      </c>
      <c r="S10" s="8" t="n">
        <v>38.38724894030482</v>
      </c>
      <c r="T10" s="8" t="n">
        <v>10.22446814323704</v>
      </c>
      <c r="U10" s="8" t="n">
        <v>11.36353739126648</v>
      </c>
      <c r="V10" s="8" t="n">
        <v>0.1</v>
      </c>
      <c r="W10" s="8" t="n">
        <v>2.509942511870562</v>
      </c>
      <c r="X10" s="8" t="n">
        <v>-0.1</v>
      </c>
      <c r="Y10" s="8" t="n">
        <v>33</v>
      </c>
      <c r="Z10" s="8" t="n"/>
      <c r="AA10" s="8" t="n"/>
      <c r="AB10" s="8" t="n"/>
      <c r="AC10" s="8" t="n"/>
      <c r="AD10" s="8" t="n"/>
      <c r="AE10" s="8" t="inlineStr">
        <is>
          <t>Not started</t>
        </is>
      </c>
      <c r="AF10" s="8" t="inlineStr">
        <is>
          <t>Jul-2026</t>
        </is>
      </c>
      <c r="AG10" s="8" t="inlineStr">
        <is>
          <t>Sep-2026</t>
        </is>
      </c>
      <c r="AH10" s="9" t="n">
        <v>435.7429123304599</v>
      </c>
      <c r="AI10" s="10" t="n">
        <v>1325</v>
      </c>
      <c r="AJ10" s="9" t="n">
        <v>544.6786404130748</v>
      </c>
      <c r="AK10" s="11" t="n">
        <v>-128.6485842469443</v>
      </c>
      <c r="AL10" s="15" t="n">
        <v>0.7221262421359587</v>
      </c>
      <c r="AM10" s="12" t="n">
        <v>7221.262421359587</v>
      </c>
      <c r="AN10" s="8" t="inlineStr">
        <is>
          <t>Research (Blocked)</t>
        </is>
      </c>
      <c r="AO10" s="8" t="inlineStr">
        <is>
          <t>Watch</t>
        </is>
      </c>
      <c r="AP10" s="8" t="inlineStr">
        <is>
          <t>Early</t>
        </is>
      </c>
      <c r="AQ10" s="8" t="inlineStr">
        <is>
          <t>See structured fields (Thesis / Risks / Valuation / Trigger / Sources) for detail.</t>
        </is>
      </c>
      <c r="AR10" s="8" t="inlineStr">
        <is>
          <t>Logistics/energy-storage business with historically strong ROCE claims.</t>
        </is>
      </c>
      <c r="AS10" s="8" t="inlineStr">
        <is>
          <t>ROCE conflict unresolved (24.93% vs 15.37% across sources); revenue deceleration (-0.1% FY25 vs 5yr CAGR 28.2%); WACC 12.42% vs ROIC ~10.34% (one source implies value destruction).</t>
        </is>
      </c>
      <c r="AT10" s="8" t="inlineStr">
        <is>
          <t>ROE 20.43%; D/E 0.10 (above sector avg 0.03); P/E ~39x vs peer median ~23x.</t>
        </is>
      </c>
      <c r="AU10" s="8" t="inlineStr">
        <is>
          <t>Resolve ROCE conflict via primary source before scoring.</t>
        </is>
      </c>
      <c r="AV10" s="8" t="inlineStr">
        <is>
          <t>moneyworks4me, GuruFocus, other tracker (conflicting), Jul-2026.</t>
        </is>
      </c>
      <c r="AW10" s="13" t="n">
        <v>25.59999973688775</v>
      </c>
      <c r="AX10" s="13" t="n">
        <v>10.48834958223998</v>
      </c>
      <c r="AY10" s="23" t="n">
        <v>21.27650939113574</v>
      </c>
      <c r="AZ10" s="23" t="n">
        <v>0.97</v>
      </c>
      <c r="BA10" s="23" t="n"/>
      <c r="BB10" s="23" t="n">
        <v>48.648438</v>
      </c>
      <c r="BC10" s="23" t="n"/>
      <c r="BD10" s="23" t="n">
        <v>100</v>
      </c>
      <c r="BE10" s="23" t="n">
        <v>47.24258679100943</v>
      </c>
      <c r="BF10" s="23" t="n">
        <v>100</v>
      </c>
      <c r="BG10" s="23" t="n"/>
      <c r="BH10" s="23" t="inlineStr">
        <is>
          <t>OK</t>
        </is>
      </c>
      <c r="BI10" s="23" t="inlineStr">
        <is>
          <t>Avoid</t>
        </is>
      </c>
      <c r="BM10" t="inlineStr">
        <is>
          <t>Extremely Overvalued</t>
        </is>
      </c>
    </row>
    <row r="11" ht="15" customHeight="1">
      <c r="A11" s="8" t="n">
        <v>10</v>
      </c>
      <c r="B11" s="8" t="inlineStr">
        <is>
          <t>Neuland Laboratories</t>
        </is>
      </c>
      <c r="C11" s="8" t="inlineStr">
        <is>
          <t>NEULANDLAB.NS</t>
        </is>
      </c>
      <c r="D11" s="8" t="inlineStr">
        <is>
          <t>Healthcare</t>
        </is>
      </c>
      <c r="E11" s="8" t="inlineStr">
        <is>
          <t>Pharmaceuticals (API/CDMO)</t>
        </is>
      </c>
      <c r="F11" s="8" t="n">
        <v>242343772160</v>
      </c>
      <c r="G11" s="8" t="inlineStr">
        <is>
          <t>Research</t>
        </is>
      </c>
      <c r="H11" s="8" t="inlineStr">
        <is>
          <t>Conflict</t>
        </is>
      </c>
      <c r="I11" s="15" t="n">
        <v>73.5</v>
      </c>
      <c r="J11" s="15" t="n">
        <v>30.84340441784995</v>
      </c>
      <c r="K11" s="8" t="n">
        <v>70</v>
      </c>
      <c r="L11" s="8" t="n">
        <v>100</v>
      </c>
      <c r="M11" s="8" t="inlineStr">
        <is>
          <t>Monitor - working capital / FCF trend</t>
        </is>
      </c>
      <c r="N11" s="8" t="inlineStr">
        <is>
          <t>None</t>
        </is>
      </c>
      <c r="O11" s="8" t="inlineStr">
        <is>
          <t>API/CDMO pharma manufacturer</t>
        </is>
      </c>
      <c r="P11" s="8" t="n">
        <v>64</v>
      </c>
      <c r="Q11" s="8" t="n">
        <v>1.73</v>
      </c>
      <c r="R11" s="8" t="n">
        <v>1.66</v>
      </c>
      <c r="S11" s="8" t="n">
        <v>50.66506161779093</v>
      </c>
      <c r="T11" s="8" t="n">
        <v>19.41870698690816</v>
      </c>
      <c r="U11" s="8" t="n">
        <v>21.74646005024371</v>
      </c>
      <c r="V11" s="8" t="n">
        <v>0.4</v>
      </c>
      <c r="W11" s="8" t="n">
        <v>-0.2062706704437527</v>
      </c>
      <c r="X11" s="8" t="n">
        <v>37</v>
      </c>
      <c r="Y11" s="8" t="n">
        <v>37</v>
      </c>
      <c r="Z11" s="8" t="n"/>
      <c r="AA11" s="8" t="n"/>
      <c r="AB11" s="8" t="n"/>
      <c r="AC11" s="8" t="n"/>
      <c r="AD11" s="8" t="n"/>
      <c r="AE11" s="8" t="inlineStr">
        <is>
          <t>Not started</t>
        </is>
      </c>
      <c r="AF11" s="8" t="inlineStr">
        <is>
          <t>Jul-2026</t>
        </is>
      </c>
      <c r="AG11" s="8" t="inlineStr">
        <is>
          <t>Oct-2026</t>
        </is>
      </c>
      <c r="AH11" s="9" t="n">
        <v>904.6808310954592</v>
      </c>
      <c r="AI11" s="10" t="n">
        <v>18944</v>
      </c>
      <c r="AJ11" s="9" t="n">
        <v>1130.851038869324</v>
      </c>
      <c r="AK11" s="11" t="n">
        <v>-1570.334938091057</v>
      </c>
      <c r="AL11" s="15" t="n">
        <v>3.07035961182777</v>
      </c>
      <c r="AM11" s="12" t="n">
        <v>30703.5961182777</v>
      </c>
      <c r="AN11" s="8" t="inlineStr">
        <is>
          <t>Research</t>
        </is>
      </c>
      <c r="AO11" s="8" t="inlineStr">
        <is>
          <t>Watch</t>
        </is>
      </c>
      <c r="AP11" s="8" t="inlineStr">
        <is>
          <t>Early</t>
        </is>
      </c>
      <c r="AQ11" s="8" t="inlineStr">
        <is>
          <t>See structured fields (Thesis / Risks / Valuation / Trigger / Sources) for detail.</t>
        </is>
      </c>
      <c r="AR11" s="8" t="inlineStr">
        <is>
          <t>Pharma API/CDMO manufacturer; strong revenue growth and margins.</t>
        </is>
      </c>
      <c r="AS11" s="8" t="inlineStr">
        <is>
          <t>Negative FCF (-Rs.49.4cr) from working-capital build; Tijori flags WC dragging ROCE/ROE; promoter holding declining (-3.5% 3yr); company self-warns of 'irregular earnings patterns.'</t>
        </is>
      </c>
      <c r="AT11" s="8" t="inlineStr">
        <is>
          <t>P/E 64-95x (conflicting, unresolved); FY26 revenue +37%; Q4 EBITDA margin 40.5%.</t>
        </is>
      </c>
      <c r="AU11" s="8" t="inlineStr">
        <is>
          <t>Resolve P/E conflict via Screener; follow up on working-capital and promoter-selling trend.</t>
        </is>
      </c>
      <c r="AV11" s="8" t="inlineStr">
        <is>
          <t>Verified 2026-07 (conflicting across sources).</t>
        </is>
      </c>
      <c r="AW11" s="13" t="n">
        <v>283.4999828149992</v>
      </c>
      <c r="AX11" s="13" t="n">
        <v>10</v>
      </c>
      <c r="AY11" s="23" t="n">
        <v>3.977108528062615</v>
      </c>
      <c r="AZ11" s="23" t="n">
        <v>0.18</v>
      </c>
      <c r="BA11" s="23" t="n"/>
      <c r="BB11" s="23" t="n">
        <v>66.62787</v>
      </c>
      <c r="BC11" s="23" t="n"/>
      <c r="BD11" s="23" t="n">
        <v>100</v>
      </c>
      <c r="BE11" s="23" t="n">
        <v>16.07236893102056</v>
      </c>
      <c r="BF11" s="23" t="n">
        <v>100</v>
      </c>
      <c r="BG11" s="23" t="n"/>
      <c r="BH11" s="23" t="inlineStr">
        <is>
          <t>OK</t>
        </is>
      </c>
      <c r="BI11" s="23" t="inlineStr">
        <is>
          <t>Avoid</t>
        </is>
      </c>
      <c r="BM11" t="inlineStr">
        <is>
          <t>Extremely Overvalued</t>
        </is>
      </c>
    </row>
    <row r="12" ht="15" customHeight="1">
      <c r="A12" s="8" t="n">
        <v>11</v>
      </c>
      <c r="B12" s="8" t="inlineStr">
        <is>
          <t>Elecon Engineering</t>
        </is>
      </c>
      <c r="C12" s="8" t="inlineStr">
        <is>
          <t>ELECON.NS</t>
        </is>
      </c>
      <c r="D12" s="8" t="inlineStr">
        <is>
          <t>Industrials</t>
        </is>
      </c>
      <c r="E12" s="8" t="inlineStr">
        <is>
          <t>Capital Goods - Industrial Gears/Material Handling</t>
        </is>
      </c>
      <c r="F12" s="8" t="n">
        <v>111762382848</v>
      </c>
      <c r="G12" s="8" t="inlineStr">
        <is>
          <t>Research</t>
        </is>
      </c>
      <c r="H12" s="8" t="inlineStr">
        <is>
          <t>Pass</t>
        </is>
      </c>
      <c r="I12" s="15" t="n">
        <v>44.5</v>
      </c>
      <c r="J12" s="15" t="n">
        <v>19.61907642801074</v>
      </c>
      <c r="K12" s="8" t="n">
        <v>70</v>
      </c>
      <c r="L12" s="8" t="n">
        <v>100</v>
      </c>
      <c r="M12" s="8" t="inlineStr">
        <is>
          <t>Monitor - order-book/execution recovery after Q4 FY26 miss</t>
        </is>
      </c>
      <c r="N12" s="8" t="inlineStr">
        <is>
          <t>None</t>
        </is>
      </c>
      <c r="O12" s="8" t="inlineStr">
        <is>
          <t>Industrial gears/material handling equipment</t>
        </is>
      </c>
      <c r="P12" s="8" t="n">
        <v>35.19</v>
      </c>
      <c r="Q12" s="8" t="n">
        <v>2.01</v>
      </c>
      <c r="R12" s="8" t="n">
        <v>1.85</v>
      </c>
      <c r="S12" s="8" t="n">
        <v>26.28249478015705</v>
      </c>
      <c r="T12" s="8" t="n">
        <v>14.79510631746486</v>
      </c>
      <c r="U12" s="8" t="n">
        <v>16.71326873948533</v>
      </c>
      <c r="V12" s="8" t="n">
        <v>0.12</v>
      </c>
      <c r="W12" s="8" t="n">
        <v>1.726116120577604</v>
      </c>
      <c r="X12" s="8" t="n">
        <v>17.5</v>
      </c>
      <c r="Y12" s="8" t="n">
        <v>17.5</v>
      </c>
      <c r="Z12" s="8" t="n"/>
      <c r="AA12" s="8" t="n"/>
      <c r="AB12" s="8" t="n"/>
      <c r="AC12" s="8" t="n"/>
      <c r="AD12" s="8" t="n"/>
      <c r="AE12" s="8" t="inlineStr">
        <is>
          <t>Not started</t>
        </is>
      </c>
      <c r="AF12" s="8" t="inlineStr">
        <is>
          <t>Jul-2026</t>
        </is>
      </c>
      <c r="AG12" s="8" t="inlineStr">
        <is>
          <t>Oct-2026</t>
        </is>
      </c>
      <c r="AH12" s="9" t="n">
        <v>156.7302155979708</v>
      </c>
      <c r="AI12" s="10" t="n">
        <v>529</v>
      </c>
      <c r="AJ12" s="9" t="n">
        <v>195.9127694974635</v>
      </c>
      <c r="AK12" s="11" t="n">
        <v>-154.2202845059819</v>
      </c>
      <c r="AL12" s="15" t="n">
        <v>1.953014624127069</v>
      </c>
      <c r="AM12" s="12" t="n">
        <v>19530.14624127069</v>
      </c>
      <c r="AN12" s="8" t="inlineStr">
        <is>
          <t>Research</t>
        </is>
      </c>
      <c r="AO12" s="8" t="inlineStr">
        <is>
          <t>Watch</t>
        </is>
      </c>
      <c r="AP12" s="8" t="inlineStr">
        <is>
          <t>Early</t>
        </is>
      </c>
      <c r="AQ12" s="8" t="inlineStr">
        <is>
          <t>See structured fields (Thesis / Risks / Valuation / Trigger / Sources) for detail.</t>
        </is>
      </c>
      <c r="AR12" s="8" t="inlineStr">
        <is>
          <t>Industrial gear/power-transmission manufacturer; net cash position.</t>
        </is>
      </c>
      <c r="AS12" s="8" t="inlineStr">
        <is>
          <t>ROE below 20% IOS threshold; stock down -17.9% 52wk despite decent fundamentals.</t>
        </is>
      </c>
      <c r="AT12" s="8" t="inlineStr">
        <is>
          <t>P/E 35.2x; ROE 15.85%; ROIC 18.21%; D/E 0.12; net cash.</t>
        </is>
      </c>
      <c r="AU12" s="8" t="inlineStr">
        <is>
          <t>ROE needs to clear 20% threshold to qualify as core-quality candidate.</t>
        </is>
      </c>
      <c r="AV12" s="8" t="inlineStr">
        <is>
          <t>Verified 2026-07.</t>
        </is>
      </c>
      <c r="AW12" s="13" t="n">
        <v>15.18000088754468</v>
      </c>
      <c r="AX12" s="13" t="n">
        <v>13.76500855851</v>
      </c>
      <c r="AY12" s="23" t="n">
        <v>12.90597954528745</v>
      </c>
      <c r="AZ12" s="23" t="n">
        <v>0.39</v>
      </c>
      <c r="BA12" s="23" t="n"/>
      <c r="BB12" s="23" t="n">
        <v>32.809616</v>
      </c>
      <c r="BC12" s="23" t="n"/>
      <c r="BD12" s="23" t="n">
        <v>100</v>
      </c>
      <c r="BE12" s="23" t="n">
        <v>11.82437560444612</v>
      </c>
      <c r="BF12" s="23" t="n">
        <v>100</v>
      </c>
      <c r="BG12" s="23" t="n"/>
      <c r="BH12" s="23" t="inlineStr">
        <is>
          <t>OK</t>
        </is>
      </c>
      <c r="BI12" s="23" t="inlineStr">
        <is>
          <t>Avoid</t>
        </is>
      </c>
      <c r="BM12" t="inlineStr">
        <is>
          <t>Extremely Overvalued</t>
        </is>
      </c>
    </row>
    <row r="13" ht="15" customHeight="1">
      <c r="A13" s="8" t="n">
        <v>12</v>
      </c>
      <c r="B13" s="8" t="inlineStr">
        <is>
          <t>State Bank of India</t>
        </is>
      </c>
      <c r="C13" s="8" t="inlineStr">
        <is>
          <t>SBIN.NS</t>
        </is>
      </c>
      <c r="D13" s="8" t="inlineStr">
        <is>
          <t>Financial Services</t>
        </is>
      </c>
      <c r="E13" s="8" t="inlineStr">
        <is>
          <t>Public Sector Bank</t>
        </is>
      </c>
      <c r="F13" s="8" t="n">
        <v>9386615373824</v>
      </c>
      <c r="G13" s="8" t="inlineStr">
        <is>
          <t>Research</t>
        </is>
      </c>
      <c r="H13" s="8" t="inlineStr">
        <is>
          <t>Pass</t>
        </is>
      </c>
      <c r="I13" s="15" t="n">
        <v>23.33333333333334</v>
      </c>
      <c r="J13" s="15" t="n">
        <v>0</v>
      </c>
      <c r="K13" s="8" t="n">
        <v>75</v>
      </c>
      <c r="L13" s="8" t="n">
        <v>60</v>
      </c>
      <c r="M13" s="8" t="inlineStr">
        <is>
          <t>Medium - standard quarterly monitoring (bank; ROCE/D-E not standard metrics)</t>
        </is>
      </c>
      <c r="N13" s="8" t="inlineStr">
        <is>
          <t>None</t>
        </is>
      </c>
      <c r="O13" s="8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8" t="n">
        <v>11.6</v>
      </c>
      <c r="Q13" s="8" t="n">
        <v>0.89</v>
      </c>
      <c r="R13" s="8" t="n">
        <v>0.8</v>
      </c>
      <c r="S13" s="8" t="n"/>
      <c r="T13" s="8" t="n">
        <v>13.54673887087101</v>
      </c>
      <c r="U13" s="8" t="n">
        <v>13.76</v>
      </c>
      <c r="V13" s="8" t="n">
        <v>1.33</v>
      </c>
      <c r="W13" s="8" t="n">
        <v>2.923140132205341</v>
      </c>
      <c r="X13" s="8" t="n">
        <v>5.2</v>
      </c>
      <c r="Y13" s="8" t="n">
        <v>13</v>
      </c>
      <c r="Z13" s="8" t="n"/>
      <c r="AA13" s="8" t="n"/>
      <c r="AB13" s="8" t="n"/>
      <c r="AC13" s="8" t="n"/>
      <c r="AD13" s="8" t="n"/>
      <c r="AE13" s="8" t="inlineStr">
        <is>
          <t>Not started</t>
        </is>
      </c>
      <c r="AF13" s="8" t="inlineStr">
        <is>
          <t>Jul-2026</t>
        </is>
      </c>
      <c r="AG13" s="8" t="inlineStr">
        <is>
          <t>Oct-2026</t>
        </is>
      </c>
      <c r="AH13" s="9" t="n">
        <v>728.2310545303662</v>
      </c>
      <c r="AI13" s="10" t="n">
        <v>1040</v>
      </c>
      <c r="AJ13" s="9" t="n">
        <v>910.2888181629578</v>
      </c>
      <c r="AK13" s="11" t="n">
        <v>-11.71179736692722</v>
      </c>
      <c r="AL13" s="15" t="n">
        <v>0.282075058945176</v>
      </c>
      <c r="AM13" s="12" t="n">
        <v>2820.75058945176</v>
      </c>
      <c r="AN13" s="8" t="inlineStr">
        <is>
          <t>Research</t>
        </is>
      </c>
      <c r="AO13" s="8" t="inlineStr">
        <is>
          <t>Watch</t>
        </is>
      </c>
      <c r="AP13" s="8" t="inlineStr">
        <is>
          <t>Early</t>
        </is>
      </c>
      <c r="AQ13" s="8" t="inlineStr">
        <is>
          <t>See structured fields (Thesis / Risks / Valuation / Trigger / Sources) for detail.</t>
        </is>
      </c>
      <c r="AR13" s="8" t="inlineStr">
        <is>
          <t>Largest PSU bank by assets; strong profit growth; cheap valuation.</t>
        </is>
      </c>
      <c r="AS13" s="8" t="inlineStr">
        <is>
          <t>Bank-specific yardstick applied (ROE&gt;15%, not 20% threshold) - judgment call on cross-comparability; ROCE/D-E not meaningful for banks.</t>
        </is>
      </c>
      <c r="AT13" s="8" t="inlineStr">
        <is>
          <t>FY26 net profit Rs.80,032cr (+12.88% YoY); ROA 1.12%; ROE 18.57%; P/E ~11.6x; advances +16.87% YoY; deposits +11.03% YoY.</t>
        </is>
      </c>
      <c r="AU13" s="8" t="inlineStr">
        <is>
          <t>DC/BC not yet formally scored - first-pass research only.</t>
        </is>
      </c>
      <c r="AV13" s="8" t="inlineStr">
        <is>
          <t>Verified 2026-07 (GuruFocus).</t>
        </is>
      </c>
      <c r="AW13" s="13" t="n">
        <v>91.15000343710916</v>
      </c>
      <c r="AX13" s="13" t="n">
        <v>10</v>
      </c>
      <c r="AY13" s="23" t="n">
        <v>9.986712212429596</v>
      </c>
      <c r="AZ13" s="23" t="n">
        <v>1.67</v>
      </c>
      <c r="BA13" s="23" t="n"/>
      <c r="BB13" s="23" t="n">
        <v>11.156336</v>
      </c>
      <c r="BC13" s="23" t="n"/>
      <c r="BD13" s="23" t="n">
        <v>60</v>
      </c>
      <c r="BE13" s="23" t="n">
        <v>100</v>
      </c>
      <c r="BF13" s="23" t="n">
        <v>100</v>
      </c>
      <c r="BG13" s="23" t="n"/>
      <c r="BH13" s="23" t="inlineStr">
        <is>
          <t>Missing EV/EBIT (EBIT &lt;= 0)</t>
        </is>
      </c>
      <c r="BI13" s="23" t="inlineStr">
        <is>
          <t>Avoid</t>
        </is>
      </c>
      <c r="BM13" t="inlineStr">
        <is>
          <t>Overvalued</t>
        </is>
      </c>
    </row>
    <row r="14" ht="15" customHeight="1">
      <c r="A14" s="8" t="n">
        <v>13</v>
      </c>
      <c r="B14" s="8" t="inlineStr">
        <is>
          <t>Titan Company</t>
        </is>
      </c>
      <c r="C14" s="8" t="inlineStr">
        <is>
          <t>TITAN.NS</t>
        </is>
      </c>
      <c r="D14" s="8" t="inlineStr">
        <is>
          <t>Consumer Discretionary</t>
        </is>
      </c>
      <c r="E14" s="8" t="inlineStr">
        <is>
          <t>Consumer Durables (Jewellery/Watches/Eyewear)</t>
        </is>
      </c>
      <c r="F14" s="8" t="n">
        <v>4068344332288</v>
      </c>
      <c r="G14" s="8" t="inlineStr">
        <is>
          <t>Research</t>
        </is>
      </c>
      <c r="H14" s="8" t="inlineStr">
        <is>
          <t>Conflict</t>
        </is>
      </c>
      <c r="I14" s="15" t="n">
        <v>72</v>
      </c>
      <c r="J14" s="15" t="n">
        <v>0</v>
      </c>
      <c r="K14" s="8" t="n">
        <v>50</v>
      </c>
      <c r="L14" s="8" t="n">
        <v>100</v>
      </c>
      <c r="M14" s="8" t="inlineStr">
        <is>
          <t>Blocked - resolve ROCE conflict (20-21% vs 37.37%) and D/E conflict (0 vs 1.56)</t>
        </is>
      </c>
      <c r="N14" s="8" t="inlineStr">
        <is>
          <t>None</t>
        </is>
      </c>
      <c r="O14" s="8" t="inlineStr">
        <is>
          <t>Jewellery/watches/eyewear lifestyle major, Tata Group</t>
        </is>
      </c>
      <c r="P14" s="8" t="n">
        <v>76.5</v>
      </c>
      <c r="Q14" s="8" t="n">
        <v>5.1</v>
      </c>
      <c r="R14" s="8" t="n">
        <v>4.64</v>
      </c>
      <c r="S14" s="8" t="n"/>
      <c r="T14" s="8" t="n">
        <v>32.30592880341336</v>
      </c>
      <c r="U14" s="8" t="n">
        <v>36.37326656394453</v>
      </c>
      <c r="V14" s="8" t="n">
        <v>1.5</v>
      </c>
      <c r="W14" s="8" t="n"/>
      <c r="X14" s="8" t="n">
        <v>17</v>
      </c>
      <c r="Y14" s="8" t="n">
        <v>15</v>
      </c>
      <c r="Z14" s="8" t="n"/>
      <c r="AA14" s="8" t="n"/>
      <c r="AB14" s="8" t="n"/>
      <c r="AC14" s="8" t="n"/>
      <c r="AD14" s="8" t="n"/>
      <c r="AE14" s="8" t="inlineStr">
        <is>
          <t>Not started</t>
        </is>
      </c>
      <c r="AF14" s="8" t="inlineStr">
        <is>
          <t>Jul-2026</t>
        </is>
      </c>
      <c r="AG14" s="8" t="inlineStr">
        <is>
          <t>Sep-2026</t>
        </is>
      </c>
      <c r="AH14" s="9" t="n">
        <v>959.3485843875978</v>
      </c>
      <c r="AI14" s="10" t="n">
        <v>3550</v>
      </c>
      <c r="AJ14" s="9" t="n">
        <v>1199.185730484497</v>
      </c>
      <c r="AK14" s="11" t="n">
        <v>-282.4595209406798</v>
      </c>
      <c r="AL14" s="15">
        <f>IF(H14="Fail","Not Eligible (Failed Gate)",IF(J14="","Pending Score",IF(J14&gt;=90,"10%",IF(J14&gt;=80,"7.5%",IF(J14&gt;=70,"5%","Watchlist only")))))</f>
        <v/>
      </c>
      <c r="AM14" s="12">
        <f>IFERROR(ROUND(VALUE(SUBSTITUTE(AL14,"%",""))/100*Dashboard!$B$11,0),"")</f>
        <v/>
      </c>
      <c r="AN14" s="8" t="inlineStr">
        <is>
          <t>Research (Blocked)</t>
        </is>
      </c>
      <c r="AO14" s="8" t="inlineStr">
        <is>
          <t>Watch</t>
        </is>
      </c>
      <c r="AP14" s="8" t="inlineStr">
        <is>
          <t>Early</t>
        </is>
      </c>
      <c r="AQ14" s="8" t="inlineStr">
        <is>
          <t>See structured fields (Thesis / Risks / Valuation / Trigger / Sources) for detail.</t>
        </is>
      </c>
      <c r="AR14" s="8" t="inlineStr">
        <is>
          <t>Dominant jewelry/watches consumer franchise; strong headline ROE.</t>
        </is>
      </c>
      <c r="AS14" s="8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T14" s="8" t="inlineStr">
        <is>
          <t>ROE 28.7-37.7% (range, all periods strong).</t>
        </is>
      </c>
      <c r="AU14" s="8" t="inlineStr">
        <is>
          <t>Resolve ROCE and D/E conflicts before scoring.</t>
        </is>
      </c>
      <c r="AV14" s="8" t="inlineStr">
        <is>
          <t>Verified 2026-07 (multiple, conflicting).</t>
        </is>
      </c>
      <c r="AW14" s="13" t="n">
        <v>57.0900007730004</v>
      </c>
      <c r="AX14" s="13" t="n">
        <v>25</v>
      </c>
      <c r="AY14" s="23" t="n">
        <v>21.00518007504812</v>
      </c>
      <c r="AZ14" s="23" t="n">
        <v>0.33</v>
      </c>
      <c r="BA14" s="23" t="n"/>
      <c r="BB14" s="23" t="n">
        <v>80.33631</v>
      </c>
      <c r="BC14" s="23" t="n"/>
      <c r="BD14" s="23" t="n">
        <v>100</v>
      </c>
      <c r="BE14" s="23" t="n">
        <v>100</v>
      </c>
      <c r="BF14" s="23" t="n">
        <v>100</v>
      </c>
      <c r="BG14" s="23" t="n"/>
      <c r="BH14" s="23" t="inlineStr">
        <is>
          <t>OK</t>
        </is>
      </c>
      <c r="BI14" s="23" t="inlineStr">
        <is>
          <t>Avoid</t>
        </is>
      </c>
      <c r="BM14" t="inlineStr">
        <is>
          <t>Extremely Overvalued</t>
        </is>
      </c>
    </row>
    <row r="15" ht="15" customHeight="1">
      <c r="A15" s="8" t="n">
        <v>14</v>
      </c>
      <c r="B15" s="8" t="inlineStr">
        <is>
          <t>Tech Mahindra</t>
        </is>
      </c>
      <c r="C15" s="8" t="inlineStr">
        <is>
          <t>TECHM.NS</t>
        </is>
      </c>
      <c r="D15" s="8" t="inlineStr">
        <is>
          <t>IT</t>
        </is>
      </c>
      <c r="E15" s="8" t="inlineStr">
        <is>
          <t>IT Services</t>
        </is>
      </c>
      <c r="F15" s="8" t="n">
        <v>1265662951424</v>
      </c>
      <c r="G15" s="8" t="inlineStr">
        <is>
          <t>Research</t>
        </is>
      </c>
      <c r="H15" s="8" t="inlineStr">
        <is>
          <t>Fail</t>
        </is>
      </c>
      <c r="I15" s="8" t="n">
        <v>62</v>
      </c>
      <c r="J15" s="8" t="n">
        <v>28.74671011071583</v>
      </c>
      <c r="K15" s="8" t="n">
        <v>75</v>
      </c>
      <c r="L15" s="8" t="n">
        <v>100</v>
      </c>
      <c r="M15" s="8" t="inlineStr">
        <is>
          <t>Low - weak 5yr growth (8.5%), payout exceeds EPS</t>
        </is>
      </c>
      <c r="N15" s="8" t="inlineStr">
        <is>
          <t>None</t>
        </is>
      </c>
      <c r="O15" s="8" t="inlineStr">
        <is>
          <t>IT services subsidiary of Mahindra Group; telecom-heavy client mix</t>
        </is>
      </c>
      <c r="P15" s="8" t="n">
        <v>25.3</v>
      </c>
      <c r="Q15" s="8" t="n">
        <v>3.16</v>
      </c>
      <c r="R15" s="8" t="n">
        <v>2.66</v>
      </c>
      <c r="S15" s="8" t="n">
        <v>16.80694042182488</v>
      </c>
      <c r="T15" s="8" t="n">
        <v>15.99527878445324</v>
      </c>
      <c r="U15" s="8" t="n">
        <v>21.18582583684858</v>
      </c>
      <c r="V15" s="8" t="n">
        <v>0.1</v>
      </c>
      <c r="W15" s="8" t="n">
        <v>4.41039576560739</v>
      </c>
      <c r="X15" s="8" t="n">
        <v>8.460000000000001</v>
      </c>
      <c r="Y15" s="8" t="n">
        <v>8</v>
      </c>
      <c r="Z15" s="8" t="n"/>
      <c r="AA15" s="8" t="n"/>
      <c r="AB15" s="8" t="n"/>
      <c r="AC15" s="8" t="n"/>
      <c r="AD15" s="8" t="n"/>
      <c r="AE15" s="8" t="inlineStr">
        <is>
          <t>Not started</t>
        </is>
      </c>
      <c r="AF15" s="8" t="inlineStr">
        <is>
          <t>Jul-2026</t>
        </is>
      </c>
      <c r="AG15" s="8" t="inlineStr">
        <is>
          <t>Oct-2026</t>
        </is>
      </c>
      <c r="AH15" s="9" t="n">
        <v>757.5632469167359</v>
      </c>
      <c r="AI15" s="10" t="n">
        <v>1410</v>
      </c>
      <c r="AJ15" s="9" t="n">
        <v>946.9540586459199</v>
      </c>
      <c r="AK15" s="11" t="n">
        <v>-50.88377170515401</v>
      </c>
      <c r="AL15" s="15" t="n">
        <v>2.861640579656076</v>
      </c>
      <c r="AM15" s="12" t="n">
        <v>28616.40579656076</v>
      </c>
      <c r="AN15" s="8" t="inlineStr">
        <is>
          <t>Research</t>
        </is>
      </c>
      <c r="AO15" s="8" t="inlineStr">
        <is>
          <t>Watch</t>
        </is>
      </c>
      <c r="AP15" s="8" t="inlineStr">
        <is>
          <t>Early</t>
        </is>
      </c>
      <c r="AQ15" s="8" t="inlineStr">
        <is>
          <t>See structured fields (Thesis / Risks / Valuation / Trigger / Sources) for detail.</t>
        </is>
      </c>
      <c r="AR15" s="8" t="inlineStr">
        <is>
          <t>IT services subsidiary of Mahindra Group.</t>
        </is>
      </c>
      <c r="AS15" s="8" t="inlineStr">
        <is>
          <t>ROE well below 20% threshold; weak 5yr sales growth (8.46%); dividend payout 112% exceeds earnings.</t>
        </is>
      </c>
      <c r="AT15" s="8" t="inlineStr">
        <is>
          <t>P/E ~25.3x; 3yr ROE 13.3%.</t>
        </is>
      </c>
      <c r="AU15" s="8" t="inlineStr">
        <is>
          <t>N/A - excluded, no differentiated catalyst vs TCS.</t>
        </is>
      </c>
      <c r="AV15" s="8" t="inlineStr">
        <is>
          <t>Verified 2026-07 (Screener/GuruFocus).</t>
        </is>
      </c>
      <c r="AW15" s="13" t="n">
        <v>54.13999705958582</v>
      </c>
      <c r="AX15" s="13" t="n">
        <v>10</v>
      </c>
      <c r="AY15" s="23" t="n">
        <v>17.49083964990617</v>
      </c>
      <c r="AZ15" s="23" t="n">
        <v>3.52</v>
      </c>
      <c r="BA15" s="23" t="n"/>
      <c r="BB15" s="23" t="n">
        <v>26.39084</v>
      </c>
      <c r="BC15" s="23" t="n"/>
      <c r="BD15" s="23" t="n">
        <v>100</v>
      </c>
      <c r="BE15" s="23" t="n">
        <v>7.268677062207002</v>
      </c>
      <c r="BF15" s="23" t="n">
        <v>100</v>
      </c>
      <c r="BG15" s="23" t="n"/>
      <c r="BH15" s="23" t="inlineStr">
        <is>
          <t>OK</t>
        </is>
      </c>
      <c r="BI15" s="23" t="inlineStr">
        <is>
          <t>Avoid</t>
        </is>
      </c>
      <c r="BM15" t="inlineStr">
        <is>
          <t>Extremely Overvalued</t>
        </is>
      </c>
    </row>
    <row r="16" ht="15" customHeight="1">
      <c r="A16" s="8" t="n">
        <v>15</v>
      </c>
      <c r="B16" s="8" t="inlineStr">
        <is>
          <t>Larsen &amp; Toubro</t>
        </is>
      </c>
      <c r="C16" s="8" t="inlineStr">
        <is>
          <t>LT.NS</t>
        </is>
      </c>
      <c r="D16" s="8" t="inlineStr">
        <is>
          <t>Industrials</t>
        </is>
      </c>
      <c r="E16" s="8" t="inlineStr">
        <is>
          <t>EPC/Conglomerate</t>
        </is>
      </c>
      <c r="F16" s="8" t="n">
        <v>5354475749376</v>
      </c>
      <c r="G16" s="8" t="inlineStr">
        <is>
          <t>Research</t>
        </is>
      </c>
      <c r="H16" s="8" t="inlineStr">
        <is>
          <t>Conflict</t>
        </is>
      </c>
      <c r="I16" s="15" t="n">
        <v>27</v>
      </c>
      <c r="J16" s="15" t="n">
        <v>0.31861062350512</v>
      </c>
      <c r="K16" s="8" t="n">
        <v>55</v>
      </c>
      <c r="L16" s="8" t="n">
        <v>100</v>
      </c>
      <c r="M16" s="8" t="inlineStr">
        <is>
          <t>Blocked - need segment-level D/E excluding financial-services arm</t>
        </is>
      </c>
      <c r="N16" s="8" t="inlineStr">
        <is>
          <t>None</t>
        </is>
      </c>
      <c r="O16" s="8" t="inlineStr">
        <is>
          <t>Diversified EPC conglomerate: infra, hydrocarbon, defence, IT, financial services</t>
        </is>
      </c>
      <c r="P16" s="8" t="n">
        <v>33.8</v>
      </c>
      <c r="Q16" s="8" t="n">
        <v>2.82</v>
      </c>
      <c r="R16" s="8" t="n">
        <v>2.5</v>
      </c>
      <c r="S16" s="8" t="n">
        <v>24.55781444341955</v>
      </c>
      <c r="T16" s="8" t="n">
        <v>12.51375743928715</v>
      </c>
      <c r="U16" s="8" t="n">
        <v>13.66838983042717</v>
      </c>
      <c r="V16" s="8" t="n">
        <v>1.12</v>
      </c>
      <c r="W16" s="8" t="n">
        <v>1.794808523081884</v>
      </c>
      <c r="X16" s="8" t="n">
        <v>12</v>
      </c>
      <c r="Y16" s="8" t="n">
        <v>12</v>
      </c>
      <c r="Z16" s="8" t="n"/>
      <c r="AA16" s="8" t="n"/>
      <c r="AB16" s="8" t="n"/>
      <c r="AC16" s="8" t="n"/>
      <c r="AD16" s="8" t="n"/>
      <c r="AE16" s="8" t="inlineStr">
        <is>
          <t>Not started</t>
        </is>
      </c>
      <c r="AF16" s="8" t="inlineStr">
        <is>
          <t>Jul-2026</t>
        </is>
      </c>
      <c r="AG16" s="8" t="inlineStr">
        <is>
          <t>Sep-2026</t>
        </is>
      </c>
      <c r="AH16" s="9" t="n">
        <v>1389.36895284642</v>
      </c>
      <c r="AI16" s="10" t="n">
        <v>3693</v>
      </c>
      <c r="AJ16" s="9" t="n">
        <v>1736.711191058025</v>
      </c>
      <c r="AK16" s="11" t="n">
        <v>-124.1074981286259</v>
      </c>
      <c r="AL16" s="15" t="n">
        <v>0.03171664116764113</v>
      </c>
      <c r="AM16" s="12" t="n">
        <v>317.1664116764113</v>
      </c>
      <c r="AN16" s="8" t="inlineStr">
        <is>
          <t>Research (Blocked)</t>
        </is>
      </c>
      <c r="AO16" s="8" t="inlineStr">
        <is>
          <t>Watch</t>
        </is>
      </c>
      <c r="AP16" s="8" t="inlineStr">
        <is>
          <t>Early</t>
        </is>
      </c>
      <c r="AQ16" s="8" t="inlineStr">
        <is>
          <t>See structured fields (Thesis / Risks / Valuation / Trigger / Sources) for detail.</t>
        </is>
      </c>
      <c r="AR16" s="8" t="inlineStr">
        <is>
          <t>Diversified EPC conglomerate (infra, hydrocarbon, defence, IT, financial services).</t>
        </is>
      </c>
      <c r="AS16" s="8" t="inlineStr">
        <is>
          <t>ROE/ROCE both below 20% threshold; D/E elevated (1.12-1.41) but distorted by NBFC arm - needs segment-level resolution; net debt rising sharply.</t>
        </is>
      </c>
      <c r="AT16" s="8" t="inlineStr">
        <is>
          <t>P/E ~33.8x; ROE ~14.7-15%; ROCE ~17.85%.</t>
        </is>
      </c>
      <c r="AU16" s="8" t="inlineStr">
        <is>
          <t>Segment-level D/E excluding financial-services arm needed before scoring.</t>
        </is>
      </c>
      <c r="AV16" s="8" t="inlineStr">
        <is>
          <t>Verified 2026-07 (Tijori/Screener).</t>
        </is>
      </c>
      <c r="AW16" s="13" t="n">
        <v>116.9599957207925</v>
      </c>
      <c r="AX16" s="13" t="n">
        <v>12.0206624909</v>
      </c>
      <c r="AY16" s="23" t="n">
        <v>14.84876189345096</v>
      </c>
      <c r="AZ16" s="23" t="n">
        <v>0.95</v>
      </c>
      <c r="BA16" s="23" t="n"/>
      <c r="BB16" s="23" t="n">
        <v>33.27719</v>
      </c>
      <c r="BC16" s="23" t="n"/>
      <c r="BD16" s="23" t="n">
        <v>100</v>
      </c>
      <c r="BE16" s="23" t="n">
        <v>97.63992130736948</v>
      </c>
      <c r="BF16" s="23" t="n">
        <v>100</v>
      </c>
      <c r="BG16" s="23" t="n"/>
      <c r="BH16" s="23" t="inlineStr">
        <is>
          <t>OK</t>
        </is>
      </c>
      <c r="BI16" s="23" t="inlineStr">
        <is>
          <t>Avoid</t>
        </is>
      </c>
      <c r="BM16" t="inlineStr">
        <is>
          <t>Extremely Overvalued</t>
        </is>
      </c>
    </row>
    <row r="17" ht="15" customHeight="1">
      <c r="A17" s="8" t="n">
        <v>16</v>
      </c>
      <c r="B17" s="8" t="inlineStr">
        <is>
          <t>Avalon Technologies</t>
        </is>
      </c>
      <c r="C17" s="8" t="inlineStr">
        <is>
          <t>AVALON.NS</t>
        </is>
      </c>
      <c r="D17" s="8" t="inlineStr">
        <is>
          <t>Industrials/IT Hardware</t>
        </is>
      </c>
      <c r="E17" s="8" t="inlineStr">
        <is>
          <t>Electronic Manufacturing Services (EMS)</t>
        </is>
      </c>
      <c r="F17" s="8" t="n">
        <v>108983336960</v>
      </c>
      <c r="G17" s="8" t="inlineStr">
        <is>
          <t>Research</t>
        </is>
      </c>
      <c r="H17" s="8" t="inlineStr">
        <is>
          <t>Fail</t>
        </is>
      </c>
      <c r="I17" s="8" t="n">
        <v>41</v>
      </c>
      <c r="J17" s="8" t="n">
        <v>14.45193119072197</v>
      </c>
      <c r="K17" s="8" t="n">
        <v>70</v>
      </c>
      <c r="L17" s="8" t="n">
        <v>100</v>
      </c>
      <c r="M17" s="8" t="inlineStr">
        <is>
          <t>Low priority - structural Fail (ROE/ROCE below threshold), revisit only if fundamentals improve</t>
        </is>
      </c>
      <c r="N17" s="8" t="inlineStr">
        <is>
          <t>None</t>
        </is>
      </c>
      <c r="O17" s="8" t="inlineStr">
        <is>
          <t>EMS/electronics manufacturing, PCB to box-build</t>
        </is>
      </c>
      <c r="P17" s="8" t="n">
        <v>100</v>
      </c>
      <c r="Q17" s="8" t="n">
        <v>2.05</v>
      </c>
      <c r="R17" s="8" t="n">
        <v>1.99</v>
      </c>
      <c r="S17" s="8" t="n"/>
      <c r="T17" s="8" t="n">
        <v>15.64988464815957</v>
      </c>
      <c r="U17" s="8" t="n">
        <v>18.18295383862648</v>
      </c>
      <c r="V17" s="8" t="n">
        <v>0.15</v>
      </c>
      <c r="W17" s="8" t="n"/>
      <c r="X17" s="8" t="n">
        <v>18.4</v>
      </c>
      <c r="Y17" s="8" t="n">
        <v>48.7</v>
      </c>
      <c r="Z17" s="8" t="n"/>
      <c r="AA17" s="8" t="n"/>
      <c r="AB17" s="8" t="n"/>
      <c r="AC17" s="8" t="n"/>
      <c r="AD17" s="8" t="n"/>
      <c r="AE17" s="8" t="inlineStr">
        <is>
          <t>Not started</t>
        </is>
      </c>
      <c r="AF17" s="8" t="inlineStr">
        <is>
          <t>Jul-2026</t>
        </is>
      </c>
      <c r="AG17" s="8" t="inlineStr">
        <is>
          <t>Jan-2027</t>
        </is>
      </c>
      <c r="AH17" s="9" t="n">
        <v>85.33777552403239</v>
      </c>
      <c r="AI17" s="10" t="n">
        <v>1800</v>
      </c>
      <c r="AJ17" s="9" t="n">
        <v>106.6722194050405</v>
      </c>
      <c r="AK17" s="11" t="n">
        <v>-1429.170396095576</v>
      </c>
      <c r="AL17" s="15" t="n">
        <v>1.438642286038537</v>
      </c>
      <c r="AM17" s="12" t="n">
        <v>14386.42286038537</v>
      </c>
      <c r="AN17" s="8" t="inlineStr">
        <is>
          <t>Research (Low priority)</t>
        </is>
      </c>
      <c r="AO17" s="8" t="inlineStr">
        <is>
          <t>Watch</t>
        </is>
      </c>
      <c r="AP17" s="8" t="inlineStr">
        <is>
          <t>Early</t>
        </is>
      </c>
      <c r="AQ17" s="8" t="inlineStr">
        <is>
          <t>See structured fields (Thesis / Risks / Valuation / Trigger / Sources) for detail.</t>
        </is>
      </c>
      <c r="AR17" s="8" t="inlineStr">
        <is>
          <t>EMS (electronics manufacturing services) upcycle narrative stock.</t>
        </is>
      </c>
      <c r="AS17" s="8" t="inlineStr">
        <is>
          <t>ROE/ROCE fail 20% threshold by wide margin; P/E swung 76x-134x on pure re-rating (+118% 1yr) - narrative priced in well ahead of fundamentals.</t>
        </is>
      </c>
      <c r="AT17" s="8" t="inlineStr">
        <is>
          <t>ROE ~9-11% (3yr); ROCE avg 12.4%.</t>
        </is>
      </c>
      <c r="AU17" s="8" t="inlineStr">
        <is>
          <t>N/A - excluded, same pattern as MTAR.</t>
        </is>
      </c>
      <c r="AV17" s="8" t="inlineStr">
        <is>
          <t>Verified 2026-07.</t>
        </is>
      </c>
      <c r="AW17" s="13" t="n">
        <v>16.88999942636956</v>
      </c>
      <c r="AX17" s="13" t="n">
        <v>10</v>
      </c>
      <c r="AY17" s="23" t="n">
        <v>6.315702747486116</v>
      </c>
      <c r="AZ17" s="23" t="n"/>
      <c r="BA17" s="23" t="n"/>
      <c r="BB17" s="23" t="n">
        <v>96.57786</v>
      </c>
      <c r="BC17" s="23" t="n"/>
      <c r="BD17" s="23" t="n">
        <v>100</v>
      </c>
      <c r="BE17" s="23" t="n">
        <v>29.50277467940502</v>
      </c>
      <c r="BF17" s="23" t="n">
        <v>100</v>
      </c>
      <c r="BG17" s="23" t="n"/>
      <c r="BH17" s="23" t="inlineStr">
        <is>
          <t>OK</t>
        </is>
      </c>
      <c r="BI17" s="23" t="inlineStr">
        <is>
          <t>Avoid</t>
        </is>
      </c>
      <c r="BM17" t="inlineStr">
        <is>
          <t>Extremely Overvalued</t>
        </is>
      </c>
    </row>
    <row r="18" ht="15" customHeight="1">
      <c r="A18" s="8" t="n">
        <v>17</v>
      </c>
      <c r="B18" s="8" t="inlineStr">
        <is>
          <t>CG Power and Industrial Solutions</t>
        </is>
      </c>
      <c r="C18" s="8" t="inlineStr">
        <is>
          <t>CGPOWER.NS</t>
        </is>
      </c>
      <c r="D18" s="8" t="inlineStr">
        <is>
          <t>Industrials</t>
        </is>
      </c>
      <c r="E18" s="8" t="inlineStr">
        <is>
          <t>Capital Goods - Power/Electrical Equipment</t>
        </is>
      </c>
      <c r="F18" s="8" t="n">
        <v>1430238527488</v>
      </c>
      <c r="G18" s="8" t="inlineStr">
        <is>
          <t>Research</t>
        </is>
      </c>
      <c r="H18" s="8" t="inlineStr">
        <is>
          <t>Fail</t>
        </is>
      </c>
      <c r="I18" s="8" t="n">
        <v>40.5</v>
      </c>
      <c r="J18" s="8" t="n">
        <v>19.9572756380935</v>
      </c>
      <c r="K18" s="8" t="n">
        <v>60</v>
      </c>
      <c r="L18" s="8" t="n">
        <v>100</v>
      </c>
      <c r="M18" s="8" t="inlineStr">
        <is>
          <t>Monitor - rich valuation vs order backlog growth</t>
        </is>
      </c>
      <c r="N18" s="8" t="inlineStr">
        <is>
          <t>None</t>
        </is>
      </c>
      <c r="O18" s="8" t="inlineStr">
        <is>
          <t>Electrical equipment, electrification/industrial capex play</t>
        </is>
      </c>
      <c r="P18" s="8" t="n">
        <v>121</v>
      </c>
      <c r="Q18" s="8" t="n">
        <v>4.03</v>
      </c>
      <c r="R18" s="8" t="n">
        <v>3.84</v>
      </c>
      <c r="S18" s="8" t="n">
        <v>98.99425887145991</v>
      </c>
      <c r="T18" s="8" t="n">
        <v>14.71374988564633</v>
      </c>
      <c r="U18" s="8" t="n">
        <v>17.06730059531191</v>
      </c>
      <c r="V18" s="8" t="n">
        <v>0.1</v>
      </c>
      <c r="W18" s="8" t="n">
        <v>-0.05263876252079894</v>
      </c>
      <c r="X18" s="8" t="n">
        <v>25</v>
      </c>
      <c r="Y18" s="8" t="n">
        <v>30</v>
      </c>
      <c r="Z18" s="8" t="n"/>
      <c r="AA18" s="8" t="n"/>
      <c r="AB18" s="8" t="n"/>
      <c r="AC18" s="8" t="n"/>
      <c r="AD18" s="8" t="n"/>
      <c r="AE18" s="8" t="inlineStr">
        <is>
          <t>Not started</t>
        </is>
      </c>
      <c r="AF18" s="8" t="inlineStr">
        <is>
          <t>Jul-2026</t>
        </is>
      </c>
      <c r="AG18" s="8" t="inlineStr">
        <is>
          <t>Oct-2026</t>
        </is>
      </c>
      <c r="AH18" s="9" t="n">
        <v>33.10725189637926</v>
      </c>
      <c r="AI18" s="10" t="n">
        <v>965</v>
      </c>
      <c r="AJ18" s="9" t="n">
        <v>41.38406487047407</v>
      </c>
      <c r="AK18" s="11" t="n">
        <v>-2094.322870027913</v>
      </c>
      <c r="AL18" s="15" t="n">
        <v>1.98668124475437</v>
      </c>
      <c r="AM18" s="12" t="n">
        <v>19866.8124475437</v>
      </c>
      <c r="AN18" s="8" t="inlineStr">
        <is>
          <t>Research</t>
        </is>
      </c>
      <c r="AO18" s="8" t="inlineStr">
        <is>
          <t>Watch</t>
        </is>
      </c>
      <c r="AP18" s="8" t="inlineStr">
        <is>
          <t>Early</t>
        </is>
      </c>
      <c r="AQ18" s="8" t="inlineStr">
        <is>
          <t>See structured fields (Thesis / Risks / Valuation / Trigger / Sources) for detail.</t>
        </is>
      </c>
      <c r="AR18" s="8" t="inlineStr">
        <is>
          <t>Power equipment 'supercycle' narrative stock.</t>
        </is>
      </c>
      <c r="AS18" s="8" t="inlineStr">
        <is>
          <t>ROCE flagged as decreasing even without significant capex (unexplained); extreme valuation.</t>
        </is>
      </c>
      <c r="AT18" s="8" t="inlineStr">
        <is>
          <t>P/E ~121x (~200% premium to peer median ~40x); P/B ~18x vs peer median ~4.6x.</t>
        </is>
      </c>
      <c r="AU18" s="8" t="inlineStr">
        <is>
          <t>N/A - excluded, priced for flawless multi-year supercycle with no margin for error.</t>
        </is>
      </c>
      <c r="AV18" s="8" t="inlineStr">
        <is>
          <t>Session check, Jul-2026.</t>
        </is>
      </c>
      <c r="AW18" s="13" t="n">
        <v>7.739999828170469</v>
      </c>
      <c r="AX18" s="13" t="n">
        <v>16.2591032</v>
      </c>
      <c r="AY18" s="23" t="n">
        <v>5.346778407037993</v>
      </c>
      <c r="AZ18" s="23" t="n">
        <v>0.14</v>
      </c>
      <c r="BA18" s="23" t="n"/>
      <c r="BB18" s="23" t="n">
        <v>117.325584</v>
      </c>
      <c r="BC18" s="23" t="n"/>
      <c r="BD18" s="23" t="n">
        <v>100</v>
      </c>
      <c r="BE18" s="23" t="n">
        <v>1.445552404476565</v>
      </c>
      <c r="BF18" s="23" t="n">
        <v>100</v>
      </c>
      <c r="BG18" s="23" t="n"/>
      <c r="BH18" s="23" t="inlineStr">
        <is>
          <t>OK</t>
        </is>
      </c>
      <c r="BI18" s="23" t="inlineStr">
        <is>
          <t>Avoid</t>
        </is>
      </c>
      <c r="BM18" t="inlineStr">
        <is>
          <t>Extremely Overvalued</t>
        </is>
      </c>
    </row>
    <row r="19" ht="15" customHeight="1">
      <c r="A19" s="8" t="n">
        <v>18</v>
      </c>
      <c r="B19" s="8" t="inlineStr">
        <is>
          <t>Tejas Networks</t>
        </is>
      </c>
      <c r="C19" s="8" t="inlineStr">
        <is>
          <t>TEJASNET.NS</t>
        </is>
      </c>
      <c r="D19" s="8" t="inlineStr">
        <is>
          <t>Telecom</t>
        </is>
      </c>
      <c r="E19" s="8" t="inlineStr">
        <is>
          <t>Telecom Equipment</t>
        </is>
      </c>
      <c r="F19" s="8" t="n">
        <v>95095472128</v>
      </c>
      <c r="G19" s="8" t="inlineStr">
        <is>
          <t>Research</t>
        </is>
      </c>
      <c r="H19" s="8" t="inlineStr">
        <is>
          <t>Fail</t>
        </is>
      </c>
      <c r="I19" s="8" t="n">
        <v>0</v>
      </c>
      <c r="J19" s="8" t="n">
        <v>0</v>
      </c>
      <c r="K19" s="8" t="n">
        <v>70</v>
      </c>
      <c r="L19" s="8" t="n">
        <v>90</v>
      </c>
      <c r="M19" s="8" t="inlineStr">
        <is>
          <t>Monitor - loss-making, order lumpiness (BSNL contracts)</t>
        </is>
      </c>
      <c r="N19" s="8" t="inlineStr">
        <is>
          <t>None</t>
        </is>
      </c>
      <c r="O19" s="8" t="inlineStr">
        <is>
          <t>Wireline/wireless telecom equipment; Tata Group (Panatone Finvest) promoted</t>
        </is>
      </c>
      <c r="P19" s="8" t="inlineStr">
        <is>
          <t>N/A (loss-making)</t>
        </is>
      </c>
      <c r="Q19" s="8" t="n"/>
      <c r="R19" s="8" t="n"/>
      <c r="S19" s="8" t="n"/>
      <c r="T19" s="8" t="n">
        <v>-31.0109284956344</v>
      </c>
      <c r="U19" s="8" t="n">
        <v>-29.36836999503991</v>
      </c>
      <c r="V19" s="8" t="n">
        <v>0.9</v>
      </c>
      <c r="W19" s="8" t="n">
        <v>-5.511652749169317</v>
      </c>
      <c r="X19" s="8" t="n">
        <v>-88</v>
      </c>
      <c r="Y19" s="8" t="n">
        <v>-88</v>
      </c>
      <c r="Z19" s="8" t="n"/>
      <c r="AA19" s="8" t="n"/>
      <c r="AB19" s="8" t="n"/>
      <c r="AC19" s="8" t="n"/>
      <c r="AD19" s="8" t="n"/>
      <c r="AE19" s="8" t="inlineStr">
        <is>
          <t>Not started</t>
        </is>
      </c>
      <c r="AF19" s="8" t="inlineStr">
        <is>
          <t>Jul-2026</t>
        </is>
      </c>
      <c r="AG19" s="8" t="inlineStr">
        <is>
          <t>Oct-2026</t>
        </is>
      </c>
      <c r="AH19" s="9" t="n"/>
      <c r="AI19" s="10" t="n">
        <v>602</v>
      </c>
      <c r="AJ19" s="9" t="n"/>
      <c r="AK19" s="11">
        <f>IF(OR(NOT(ISNUMBER(AJ19)),AJ19&lt;=0,AI19=""),"",ROUND((AJ19-AI19)/AJ19*100,1))</f>
        <v/>
      </c>
      <c r="AL19" s="15">
        <f>IF(H19="Fail","Not Eligible (Failed Gate)",IF(J19="","Pending Score",IF(J19&gt;=90,"10%",IF(J19&gt;=80,"7.5%",IF(J19&gt;=70,"5%","Watchlist only")))))</f>
        <v/>
      </c>
      <c r="AM19" s="12">
        <f>IFERROR(ROUND(VALUE(SUBSTITUTE(AL19,"%",""))/100*Dashboard!$B$11,0),"")</f>
        <v/>
      </c>
      <c r="AN19" s="8" t="inlineStr">
        <is>
          <t>Research (Weak)</t>
        </is>
      </c>
      <c r="AO19" s="8" t="inlineStr">
        <is>
          <t>Watch</t>
        </is>
      </c>
      <c r="AP19" s="8" t="inlineStr">
        <is>
          <t>Early</t>
        </is>
      </c>
      <c r="AQ19" s="8" t="inlineStr">
        <is>
          <t>See structured fields (Thesis / Risks / Valuation / Trigger / Sources) for detail.</t>
        </is>
      </c>
      <c r="AR19" s="8" t="inlineStr">
        <is>
          <t>Telecom equipment manufacturer, Tata-promoted.</t>
        </is>
      </c>
      <c r="AS19" s="8" t="inlineStr">
        <is>
          <t>FY26 net loss ~Rs.909cr; revenue collapse 88-90% YoY; negative ROE/ROCE; Debt/EBITDA ~7.94x while loss-making.</t>
        </is>
      </c>
      <c r="AT19" s="8" t="inlineStr">
        <is>
          <t>N/A - loss-making, no meaningful P/E.</t>
        </is>
      </c>
      <c r="AU19" s="8" t="inlineStr">
        <is>
          <t>N/A - excluded, capital destruction in progress.</t>
        </is>
      </c>
      <c r="AV19" s="8" t="inlineStr">
        <is>
          <t>Verified 2026-07.</t>
        </is>
      </c>
      <c r="AW19" s="13">
        <f>IFERROR(ROUND(AI19/P19,2),"N/A")</f>
        <v/>
      </c>
      <c r="AX19" s="13" t="n">
        <v>10</v>
      </c>
      <c r="AY19" s="23">
        <f>IFERROR(IF(OR(T19="",T19=0,AW19="N/A",T19-AX19&lt;3),"N/A",ROUND((1-(AX19/T19))*100/(Dashboard!$B$14-AX19),1)),"N/A")</f>
        <v/>
      </c>
      <c r="AZ19" s="23" t="n">
        <v>0.42</v>
      </c>
      <c r="BA19" s="23" t="n"/>
      <c r="BB19" s="23" t="n"/>
      <c r="BC19" s="23" t="n"/>
      <c r="BD19" s="23" t="n">
        <v>50</v>
      </c>
      <c r="BE19" s="23" t="n">
        <v>100</v>
      </c>
      <c r="BF19" s="23" t="n">
        <v>50</v>
      </c>
      <c r="BG19" s="23" t="n"/>
      <c r="BH19" s="23" t="inlineStr">
        <is>
          <t>Negative FCF / DCF Invalid | Missing EV/EBIT (EBIT &lt;= 0)</t>
        </is>
      </c>
      <c r="BI19" s="23" t="inlineStr">
        <is>
          <t>Avoid</t>
        </is>
      </c>
    </row>
    <row r="20" ht="15" customHeight="1">
      <c r="A20" s="8" t="n">
        <v>19</v>
      </c>
      <c r="B20" s="8" t="inlineStr">
        <is>
          <t>ACME Solar Holdings</t>
        </is>
      </c>
      <c r="C20" s="8" t="inlineStr">
        <is>
          <t>ACMESOLAR.NS</t>
        </is>
      </c>
      <c r="D20" s="8" t="inlineStr">
        <is>
          <t>Utilities</t>
        </is>
      </c>
      <c r="E20" s="8" t="inlineStr">
        <is>
          <t>Renewable Power Generation</t>
        </is>
      </c>
      <c r="F20" s="8" t="n">
        <v>257972961280</v>
      </c>
      <c r="G20" s="8" t="inlineStr">
        <is>
          <t>Research</t>
        </is>
      </c>
      <c r="H20" s="8" t="inlineStr">
        <is>
          <t>Fail</t>
        </is>
      </c>
      <c r="I20" s="8" t="n">
        <v>35</v>
      </c>
      <c r="J20" s="8" t="n">
        <v>0</v>
      </c>
      <c r="K20" s="8" t="n">
        <v>65</v>
      </c>
      <c r="L20" s="8" t="n">
        <v>100</v>
      </c>
      <c r="M20" s="8" t="inlineStr">
        <is>
          <t>Monitor - ROE/ROCE below 20% threshold despite strong topline growth</t>
        </is>
      </c>
      <c r="N20" s="8" t="inlineStr">
        <is>
          <t>None</t>
        </is>
      </c>
      <c r="O20" s="8" t="inlineStr">
        <is>
          <t>Solar/wind/hybrid/FDRE + BESS developer-operator; PPA-based revenue</t>
        </is>
      </c>
      <c r="P20" s="8" t="n">
        <v>26</v>
      </c>
      <c r="Q20" s="8" t="n">
        <v>0.59</v>
      </c>
      <c r="R20" s="8" t="n">
        <v>0.57</v>
      </c>
      <c r="S20" s="8" t="n">
        <v>33.0898493019063</v>
      </c>
      <c r="T20" s="8" t="n">
        <v>9.859652881090113</v>
      </c>
      <c r="U20" s="8" t="n">
        <v>5.187307342176093</v>
      </c>
      <c r="V20" s="8" t="n">
        <v>0.65</v>
      </c>
      <c r="W20" s="8" t="n">
        <v>-9.370658253868001</v>
      </c>
      <c r="X20" s="8" t="n">
        <v>42.3</v>
      </c>
      <c r="Y20" s="8" t="n">
        <v>44</v>
      </c>
      <c r="Z20" s="8" t="n"/>
      <c r="AA20" s="8" t="n"/>
      <c r="AB20" s="8" t="n"/>
      <c r="AC20" s="8" t="n"/>
      <c r="AD20" s="8" t="n"/>
      <c r="AE20" s="8" t="inlineStr">
        <is>
          <t>Not started</t>
        </is>
      </c>
      <c r="AF20" s="8" t="inlineStr">
        <is>
          <t>Jul-2026</t>
        </is>
      </c>
      <c r="AG20" s="8" t="inlineStr">
        <is>
          <t>Oct-2026</t>
        </is>
      </c>
      <c r="AH20" s="9" t="n"/>
      <c r="AI20" s="10" t="n">
        <v>270</v>
      </c>
      <c r="AJ20" s="9" t="n"/>
      <c r="AK20" s="11">
        <f>IF(OR(NOT(ISNUMBER(AJ20)),AJ20&lt;=0,AI20=""),"",ROUND((AJ20-AI20)/AJ20*100,1))</f>
        <v/>
      </c>
      <c r="AL20" s="15">
        <f>IF(H20="Fail","Not Eligible (Failed Gate)",IF(J20="","Pending Score",IF(J20&gt;=90,"10%",IF(J20&gt;=80,"7.5%",IF(J20&gt;=70,"5%","Watchlist only")))))</f>
        <v/>
      </c>
      <c r="AM20" s="12">
        <f>IFERROR(ROUND(VALUE(SUBSTITUTE(AL20,"%",""))/100*Dashboard!$B$11,0),"")</f>
        <v/>
      </c>
      <c r="AN20" s="8" t="inlineStr">
        <is>
          <t>Research</t>
        </is>
      </c>
      <c r="AO20" s="8" t="inlineStr">
        <is>
          <t>Watch</t>
        </is>
      </c>
      <c r="AP20" s="8" t="inlineStr">
        <is>
          <t>Early</t>
        </is>
      </c>
      <c r="AQ20" s="8" t="inlineStr">
        <is>
          <t>See structured fields (Thesis / Risks / Valuation / Trigger / Sources) for detail.</t>
        </is>
      </c>
      <c r="AR20" s="8" t="inlineStr">
        <is>
          <t>Solar/wind/hybrid/FDRE + BESS developer; strong revenue growth.</t>
        </is>
      </c>
      <c r="AS20" s="8" t="inlineStr">
        <is>
          <t>ROE/ROCE well below 20% threshold; interest coverage thin (~1.15x); policy-dependent, capital-intensive profile (same as Premier Energies).</t>
        </is>
      </c>
      <c r="AT20" s="8" t="inlineStr">
        <is>
          <t>ROE ~7.6-10.6%; ROCE ~2.7-8.4%; D/E ~0.5-0.86; P/E ~26-90x (date-dependent).</t>
        </is>
      </c>
      <c r="AU20" s="8" t="inlineStr">
        <is>
          <t>N/A - exclude/monitor only, fails core profitability gate.</t>
        </is>
      </c>
      <c r="AV20" s="8" t="inlineStr">
        <is>
          <t>Verified 2026-07 (MarketsMojo/Screener).</t>
        </is>
      </c>
      <c r="AW20" s="13" t="n">
        <v>8.149999803641347</v>
      </c>
      <c r="AX20" s="13" t="n">
        <v>9.896105979188</v>
      </c>
      <c r="AY20" s="23">
        <f>IFERROR(IF(OR(T20="",T20=0,AW20="N/A",T20-AX20&lt;3),"N/A",ROUND((1-(AX20/T20))*100/(Dashboard!$B$14-AX20),1)),"N/A")</f>
        <v/>
      </c>
      <c r="AZ20" s="23" t="n">
        <v>0.05</v>
      </c>
      <c r="BA20" s="23" t="n"/>
      <c r="BB20" s="23" t="n">
        <v>44.815952</v>
      </c>
      <c r="BC20" s="23" t="n"/>
      <c r="BD20" s="23" t="n">
        <v>100</v>
      </c>
      <c r="BE20" s="23" t="n">
        <v>100</v>
      </c>
      <c r="BF20" s="23" t="n">
        <v>100</v>
      </c>
      <c r="BG20" s="23" t="n"/>
      <c r="BH20" s="23" t="inlineStr">
        <is>
          <t>Negative FCF / DCF Invalid</t>
        </is>
      </c>
      <c r="BI20" s="23" t="inlineStr">
        <is>
          <t>Avoid</t>
        </is>
      </c>
    </row>
    <row r="21" ht="15" customHeight="1">
      <c r="A21" s="8" t="n">
        <v>20</v>
      </c>
      <c r="B21" s="8" t="inlineStr">
        <is>
          <t>Atul Auto</t>
        </is>
      </c>
      <c r="C21" s="8" t="inlineStr">
        <is>
          <t>ATULAUTO.NS</t>
        </is>
      </c>
      <c r="D21" s="8" t="inlineStr">
        <is>
          <t>Automobiles</t>
        </is>
      </c>
      <c r="E21" s="8" t="inlineStr">
        <is>
          <t>Three-Wheelers</t>
        </is>
      </c>
      <c r="F21" s="8" t="n">
        <v>13158268928</v>
      </c>
      <c r="G21" s="8" t="inlineStr">
        <is>
          <t>Research</t>
        </is>
      </c>
      <c r="H21" s="8" t="inlineStr">
        <is>
          <t>Fail</t>
        </is>
      </c>
      <c r="I21" s="8" t="n">
        <v>34</v>
      </c>
      <c r="J21" s="8" t="n">
        <v>11.98598331055026</v>
      </c>
      <c r="K21" s="8" t="n">
        <v>70</v>
      </c>
      <c r="L21" s="8" t="n">
        <v>100</v>
      </c>
      <c r="M21" s="8" t="inlineStr">
        <is>
          <t>Low priority - ROE well below threshold, near-flat revenue CAGR</t>
        </is>
      </c>
      <c r="N21" s="8" t="inlineStr">
        <is>
          <t>None</t>
        </is>
      </c>
      <c r="O21" s="8" t="inlineStr">
        <is>
          <t>Three-wheeler (auto rickshaw) manufacturer, Gujarat-based, ~4% domestic market share</t>
        </is>
      </c>
      <c r="P21" s="8" t="n">
        <v>33</v>
      </c>
      <c r="Q21" s="8" t="n">
        <v>6.6</v>
      </c>
      <c r="R21" s="8" t="n">
        <v>5.08</v>
      </c>
      <c r="S21" s="8" t="n">
        <v>21.99614283450168</v>
      </c>
      <c r="T21" s="8" t="n">
        <v>8.622202272866382</v>
      </c>
      <c r="U21" s="8" t="n">
        <v>11.96310070735798</v>
      </c>
      <c r="V21" s="8" t="n">
        <v>0.2</v>
      </c>
      <c r="W21" s="8" t="n">
        <v>2.526696077255663</v>
      </c>
      <c r="X21" s="8" t="n">
        <v>2</v>
      </c>
      <c r="Y21" s="8" t="n">
        <v>5</v>
      </c>
      <c r="Z21" s="8" t="n"/>
      <c r="AA21" s="8" t="n"/>
      <c r="AB21" s="8" t="n"/>
      <c r="AC21" s="8" t="n"/>
      <c r="AD21" s="8" t="n"/>
      <c r="AE21" s="8" t="inlineStr">
        <is>
          <t>Not started</t>
        </is>
      </c>
      <c r="AF21" s="8" t="inlineStr">
        <is>
          <t>Jul-2026</t>
        </is>
      </c>
      <c r="AG21" s="8" t="inlineStr">
        <is>
          <t>Jan-2027</t>
        </is>
      </c>
      <c r="AH21" s="9" t="n">
        <v>204.7910955117359</v>
      </c>
      <c r="AI21" s="10" t="n">
        <v>495</v>
      </c>
      <c r="AJ21" s="9" t="n">
        <v>255.9888693896698</v>
      </c>
      <c r="AK21" s="11" t="n">
        <v>-85.2228970464502</v>
      </c>
      <c r="AL21" s="15" t="n">
        <v>1.193165273398202</v>
      </c>
      <c r="AM21" s="12" t="n">
        <v>11931.65273398202</v>
      </c>
      <c r="AN21" s="8" t="inlineStr">
        <is>
          <t>Research (Low priority)</t>
        </is>
      </c>
      <c r="AO21" s="8" t="inlineStr">
        <is>
          <t>Watch</t>
        </is>
      </c>
      <c r="AP21" s="8" t="inlineStr">
        <is>
          <t>Early</t>
        </is>
      </c>
      <c r="AQ21" s="8" t="inlineStr">
        <is>
          <t>See structured fields (Thesis / Risks / Valuation / Trigger / Sources) for detail.</t>
        </is>
      </c>
      <c r="AR21" s="8" t="inlineStr">
        <is>
          <t>Three-wheeler manufacturer, Gujarat-based.</t>
        </is>
      </c>
      <c r="AS21" s="8" t="inlineStr">
        <is>
          <t>ROE only 5.72% (3yr); rich valuation on weak returns; revenue CAGR near-flat.</t>
        </is>
      </c>
      <c r="AT21" s="8" t="inlineStr">
        <is>
          <t>P/E ~26-44x.</t>
        </is>
      </c>
      <c r="AU21" s="8" t="inlineStr">
        <is>
          <t>N/A - excluded, narrow moat, weak capital efficiency.</t>
        </is>
      </c>
      <c r="AV21" s="8" t="inlineStr">
        <is>
          <t>Verified 2026-07 (Screener/MoneyWorks4Me).</t>
        </is>
      </c>
      <c r="AW21" s="13" t="n">
        <v>15.23999937516485</v>
      </c>
      <c r="AX21" s="13" t="n">
        <v>10</v>
      </c>
      <c r="AY21" s="23" t="n">
        <v>16.79716990745865</v>
      </c>
      <c r="AZ21" s="23" t="n"/>
      <c r="BA21" s="23" t="n"/>
      <c r="BB21" s="23" t="n">
        <v>31.112206</v>
      </c>
      <c r="BC21" s="23" t="n"/>
      <c r="BD21" s="23" t="n">
        <v>100</v>
      </c>
      <c r="BE21" s="23" t="n">
        <v>29.49421582029257</v>
      </c>
      <c r="BF21" s="23" t="n">
        <v>100</v>
      </c>
      <c r="BG21" s="23" t="n"/>
      <c r="BH21" s="23" t="inlineStr">
        <is>
          <t>OK</t>
        </is>
      </c>
      <c r="BI21" s="23" t="inlineStr">
        <is>
          <t>Avoid</t>
        </is>
      </c>
      <c r="BM21" t="inlineStr">
        <is>
          <t>Extremely Overvalued</t>
        </is>
      </c>
    </row>
    <row r="22" ht="15" customHeight="1">
      <c r="A22" s="8" t="n">
        <v>21</v>
      </c>
      <c r="B22" s="8" t="inlineStr">
        <is>
          <t>Mahindra Holidays &amp; Resorts India</t>
        </is>
      </c>
      <c r="C22" s="8" t="inlineStr">
        <is>
          <t>MHRIL.NS</t>
        </is>
      </c>
      <c r="D22" s="8" t="inlineStr">
        <is>
          <t>Consumer Discretionary</t>
        </is>
      </c>
      <c r="E22" s="8" t="inlineStr">
        <is>
          <t>Leisure &amp; Hospitality</t>
        </is>
      </c>
      <c r="F22" s="8" t="n">
        <v>46791028736</v>
      </c>
      <c r="G22" s="8" t="inlineStr">
        <is>
          <t>Research</t>
        </is>
      </c>
      <c r="H22" s="8" t="inlineStr">
        <is>
          <t>Conflict</t>
        </is>
      </c>
      <c r="I22" s="15" t="n">
        <v>10</v>
      </c>
      <c r="J22" s="15" t="n">
        <v>0</v>
      </c>
      <c r="K22" s="8" t="n">
        <v>45</v>
      </c>
      <c r="L22" s="8" t="n">
        <v>100</v>
      </c>
      <c r="M22" s="8" t="inlineStr">
        <is>
          <t>Monitor - Altman Z-score 0.83 (weakest of peers), Q4 profit fell 43% on impairment</t>
        </is>
      </c>
      <c r="N22" s="8" t="inlineStr">
        <is>
          <t>None</t>
        </is>
      </c>
      <c r="O22" s="8" t="inlineStr">
        <is>
          <t>Vacation-ownership (Club Mahindra) + Holiday Club Resorts (Nordic/EU); Mahindra Group subsidiary</t>
        </is>
      </c>
      <c r="P22" s="8" t="n">
        <v>62.7</v>
      </c>
      <c r="Q22" s="8" t="n">
        <v>8.359999999999999</v>
      </c>
      <c r="R22" s="8" t="n">
        <v>6.97</v>
      </c>
      <c r="S22" s="8" t="n">
        <v>42.58236185493899</v>
      </c>
      <c r="T22" s="8" t="n">
        <v>8.870267856766871</v>
      </c>
      <c r="U22" s="8" t="n">
        <v>2.233423823335517</v>
      </c>
      <c r="V22" s="8" t="n">
        <v>1.2</v>
      </c>
      <c r="W22" s="8" t="n">
        <v>1.299075226018463</v>
      </c>
      <c r="X22" s="8" t="n">
        <v>7.5</v>
      </c>
      <c r="Y22" s="8" t="n">
        <v>-43</v>
      </c>
      <c r="Z22" s="8" t="n"/>
      <c r="AA22" s="8" t="n"/>
      <c r="AB22" s="8" t="n"/>
      <c r="AC22" s="8" t="n"/>
      <c r="AD22" s="8" t="n"/>
      <c r="AE22" s="8" t="inlineStr">
        <is>
          <t>Not started</t>
        </is>
      </c>
      <c r="AF22" s="8" t="inlineStr">
        <is>
          <t>Jul-2026</t>
        </is>
      </c>
      <c r="AG22" s="8" t="inlineStr">
        <is>
          <t>Sep-2026</t>
        </is>
      </c>
      <c r="AH22" s="9" t="n">
        <v>64.33319872860064</v>
      </c>
      <c r="AI22" s="10" t="n">
        <v>230</v>
      </c>
      <c r="AJ22" s="9" t="n">
        <v>80.41649841075079</v>
      </c>
      <c r="AK22" s="11" t="n">
        <v>-188.5104482104419</v>
      </c>
      <c r="AL22" s="15">
        <f>IF(H22="Fail","Not Eligible (Failed Gate)",IF(J22="","Pending Score",IF(J22&gt;=90,"10%",IF(J22&gt;=80,"7.5%",IF(J22&gt;=70,"5%","Watchlist only")))))</f>
        <v/>
      </c>
      <c r="AM22" s="12">
        <f>IFERROR(ROUND(VALUE(SUBSTITUTE(AL22,"%",""))/100*Dashboard!$B$11,0),"")</f>
        <v/>
      </c>
      <c r="AN22" s="8" t="inlineStr">
        <is>
          <t>Research (Weak)</t>
        </is>
      </c>
      <c r="AO22" s="8" t="inlineStr">
        <is>
          <t>Watch</t>
        </is>
      </c>
      <c r="AP22" s="8" t="inlineStr">
        <is>
          <t>Early</t>
        </is>
      </c>
      <c r="AQ22" s="8" t="inlineStr">
        <is>
          <t>See structured fields (Thesis / Risks / Valuation / Trigger / Sources) for detail.</t>
        </is>
      </c>
      <c r="AR22" s="8" t="inlineStr">
        <is>
          <t>Vacation-ownership (Club Mahindra) + Holiday Club Resorts (Nordic/EU).</t>
        </is>
      </c>
      <c r="AS22" s="8" t="inlineStr">
        <is>
          <t>Q4 FY26 profit -43.1% YoY (Mauritius impairment + soft EU); ROCE decreasing; Altman Z-score only 0.83 (weakest of 8 peers) - financial-stability red flag.</t>
        </is>
      </c>
      <c r="AT22" s="8" t="inlineStr">
        <is>
          <t>P/E ~62.7x (98% premium to peer median).</t>
        </is>
      </c>
      <c r="AU22" s="8" t="inlineStr">
        <is>
          <t>Resolve Altman Z / balance-sheet-strength concern before any scoring.</t>
        </is>
      </c>
      <c r="AV22" s="8" t="inlineStr">
        <is>
          <t>Verified 2026-07 (Screener/Tijori/Groww).</t>
        </is>
      </c>
      <c r="AW22" s="13" t="n">
        <v>3.450000089610392</v>
      </c>
      <c r="AX22" s="13" t="n">
        <v>8.972</v>
      </c>
      <c r="AY22" s="23" t="n">
        <v>23.30912997413066</v>
      </c>
      <c r="AZ22" s="23" t="n"/>
      <c r="BA22" s="23" t="n"/>
      <c r="BB22" s="23" t="n">
        <v>67.249275</v>
      </c>
      <c r="BC22" s="23" t="n"/>
      <c r="BD22" s="23" t="n">
        <v>100</v>
      </c>
      <c r="BE22" s="23" t="n">
        <v>100</v>
      </c>
      <c r="BF22" s="23" t="n">
        <v>100</v>
      </c>
      <c r="BG22" s="23" t="n"/>
      <c r="BH22" s="23" t="inlineStr">
        <is>
          <t>OK</t>
        </is>
      </c>
      <c r="BI22" s="23" t="inlineStr">
        <is>
          <t>Avoid</t>
        </is>
      </c>
      <c r="BM22" t="inlineStr">
        <is>
          <t>Extremely Overvalued</t>
        </is>
      </c>
    </row>
    <row r="23" ht="15" customHeight="1">
      <c r="A23" s="8" t="n">
        <v>22</v>
      </c>
      <c r="B23" s="8" t="inlineStr">
        <is>
          <t>Power Finance Corporation</t>
        </is>
      </c>
      <c r="C23" s="8" t="inlineStr">
        <is>
          <t>PFC.NS</t>
        </is>
      </c>
      <c r="D23" s="8" t="inlineStr">
        <is>
          <t>Financial Services</t>
        </is>
      </c>
      <c r="E23" s="8" t="inlineStr">
        <is>
          <t>Infrastructure Finance NBFC</t>
        </is>
      </c>
      <c r="F23" s="8" t="n">
        <v>1331921027072</v>
      </c>
      <c r="G23" s="8" t="inlineStr">
        <is>
          <t>Research</t>
        </is>
      </c>
      <c r="H23" s="8" t="inlineStr">
        <is>
          <t>Pass</t>
        </is>
      </c>
      <c r="I23" s="15" t="n">
        <v>33.33333333333334</v>
      </c>
      <c r="J23" s="15" t="n">
        <v>0</v>
      </c>
      <c r="K23" s="8" t="n">
        <v>50</v>
      </c>
      <c r="L23" s="8" t="n">
        <v>60</v>
      </c>
      <c r="M23" s="8" t="inlineStr">
        <is>
          <t>Blocked - PFC-REC merger integration pending, do not score standalone metrics</t>
        </is>
      </c>
      <c r="N23" s="8" t="inlineStr">
        <is>
          <t>PFC-REC merger (board-approved 28-Jun-2026, 88:100 swap)</t>
        </is>
      </c>
      <c r="O23" s="8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8" t="n">
        <v>6.5</v>
      </c>
      <c r="Q23" s="8" t="n">
        <v>0.43</v>
      </c>
      <c r="R23" s="8" t="n">
        <v>0.39</v>
      </c>
      <c r="S23" s="8" t="n"/>
      <c r="T23" s="8" t="n">
        <v>14.93357799671612</v>
      </c>
      <c r="U23" s="8" t="n">
        <v>10.26</v>
      </c>
      <c r="V23" s="8" t="n">
        <v>8.25</v>
      </c>
      <c r="W23" s="8" t="n">
        <v>-0.4097501574392843</v>
      </c>
      <c r="X23" s="8" t="n">
        <v>10</v>
      </c>
      <c r="Y23" s="8" t="n">
        <v>15</v>
      </c>
      <c r="Z23" s="8" t="n"/>
      <c r="AA23" s="8" t="n"/>
      <c r="AB23" s="8" t="n"/>
      <c r="AC23" s="8" t="n"/>
      <c r="AD23" s="8" t="n"/>
      <c r="AE23" s="8" t="inlineStr">
        <is>
          <t>Not started</t>
        </is>
      </c>
      <c r="AF23" s="8" t="inlineStr">
        <is>
          <t>Jul-2026</t>
        </is>
      </c>
      <c r="AG23" s="8" t="inlineStr">
        <is>
          <t>Sep-2026</t>
        </is>
      </c>
      <c r="AH23" s="9" t="n">
        <v>233.4882156117897</v>
      </c>
      <c r="AI23" s="10" t="n">
        <v>423</v>
      </c>
      <c r="AJ23" s="9" t="n">
        <v>291.8602695147371</v>
      </c>
      <c r="AK23" s="11" t="n">
        <v>-38.28535164140275</v>
      </c>
      <c r="AL23" s="15" t="n">
        <v>0.05722510500731424</v>
      </c>
      <c r="AM23" s="12" t="n">
        <v>572.2510500731424</v>
      </c>
      <c r="AN23" s="8" t="inlineStr">
        <is>
          <t>Research (Blocked - Merger)</t>
        </is>
      </c>
      <c r="AO23" s="8" t="inlineStr">
        <is>
          <t>Corporate action</t>
        </is>
      </c>
      <c r="AP23" s="8" t="inlineStr">
        <is>
          <t>Early</t>
        </is>
      </c>
      <c r="AQ23" s="8" t="inlineStr">
        <is>
          <t>See structured fields (Thesis / Risks / Valuation / Trigger / Sources) for detail.</t>
        </is>
      </c>
      <c r="AR23" s="8" t="inlineStr">
        <is>
          <t>Maharatna PSU infra-finance NBFC lending to power-sector utilities.</t>
        </is>
      </c>
      <c r="AS23" s="8" t="inlineStr">
        <is>
          <t>PFC-REC merger (approved 28-Jun-2026) creates integration/dilution uncertainty; State DISCOM loan-book concentration.</t>
        </is>
      </c>
      <c r="AT23" s="8" t="inlineStr">
        <is>
          <t>ROE ~19.49%; P/E ~5.6-7.3x (deep discount to peer avg ~17-18x); dividend yield ~5%.</t>
        </is>
      </c>
      <c r="AU23" s="8" t="inlineStr">
        <is>
          <t>Merger integration must clear before scoring stabilizes.</t>
        </is>
      </c>
      <c r="AV23" s="8" t="inlineStr">
        <is>
          <t>Verified 2026-07 (MarketsMojo/GuruFocus).</t>
        </is>
      </c>
      <c r="AW23" s="13" t="n">
        <v>78.49999960127602</v>
      </c>
      <c r="AX23" s="13" t="n">
        <v>16.12516180932</v>
      </c>
      <c r="AY23" s="23" t="n">
        <v>3.717965216748244</v>
      </c>
      <c r="AZ23" s="23" t="n">
        <v>3.82</v>
      </c>
      <c r="BA23" s="23" t="n"/>
      <c r="BB23" s="23" t="n">
        <v>5.1414013</v>
      </c>
      <c r="BC23" s="23" t="n"/>
      <c r="BD23" s="23" t="n">
        <v>60</v>
      </c>
      <c r="BE23" s="23" t="n">
        <v>100</v>
      </c>
      <c r="BF23" s="23" t="n">
        <v>100</v>
      </c>
      <c r="BG23" s="23" t="n"/>
      <c r="BH23" s="23" t="inlineStr">
        <is>
          <t>Missing EV/EBIT (EBIT &lt;= 0)</t>
        </is>
      </c>
      <c r="BI23" s="23" t="inlineStr">
        <is>
          <t>Avoid</t>
        </is>
      </c>
      <c r="BM23" t="inlineStr">
        <is>
          <t>Overvalued</t>
        </is>
      </c>
    </row>
    <row r="24" ht="15" customHeight="1">
      <c r="A24" s="8" t="n">
        <v>23</v>
      </c>
      <c r="B24" s="8" t="inlineStr">
        <is>
          <t>ITC</t>
        </is>
      </c>
      <c r="C24" s="8" t="inlineStr">
        <is>
          <t>ITC.NS</t>
        </is>
      </c>
      <c r="D24" s="8" t="inlineStr">
        <is>
          <t>Consumer Staples</t>
        </is>
      </c>
      <c r="E24" s="8" t="inlineStr">
        <is>
          <t>Diversified FMCG</t>
        </is>
      </c>
      <c r="F24" s="8" t="n">
        <v>3516395159552</v>
      </c>
      <c r="G24" s="8" t="inlineStr">
        <is>
          <t>Research</t>
        </is>
      </c>
      <c r="H24" s="8" t="inlineStr">
        <is>
          <t>Pass</t>
        </is>
      </c>
      <c r="I24" s="15" t="n">
        <v>77</v>
      </c>
      <c r="J24" s="15" t="n">
        <v>46.97031688616686</v>
      </c>
      <c r="K24" s="8" t="n">
        <v>80</v>
      </c>
      <c r="L24" s="8" t="n">
        <v>100</v>
      </c>
      <c r="M24" s="8" t="inlineStr">
        <is>
          <t>Monitor - Q4 FY26 profit fell 73% YoY on base effect, use FY figure for trend</t>
        </is>
      </c>
      <c r="N24" s="8" t="inlineStr">
        <is>
          <t>None</t>
        </is>
      </c>
      <c r="O24" s="8" t="inlineStr">
        <is>
          <t>Dominant cigarettes + FMCG (25+ brands) + paperboards/agri conglomerate; hotels demerged Jan-2025</t>
        </is>
      </c>
      <c r="P24" s="8" t="n">
        <v>17.6</v>
      </c>
      <c r="Q24" s="8" t="n">
        <v>3.52</v>
      </c>
      <c r="R24" s="8" t="n">
        <v>2.71</v>
      </c>
      <c r="S24" s="8" t="n">
        <v>13.82120228583574</v>
      </c>
      <c r="T24" s="8" t="n">
        <v>28.39112472627043</v>
      </c>
      <c r="U24" s="8" t="n">
        <v>33.19564682548277</v>
      </c>
      <c r="V24" s="8" t="n">
        <v>0.03</v>
      </c>
      <c r="W24" s="8" t="n">
        <v>4.602376673186018</v>
      </c>
      <c r="X24" s="8" t="n">
        <v>9.869999999999999</v>
      </c>
      <c r="Y24" s="8" t="n">
        <v>5</v>
      </c>
      <c r="Z24" s="8" t="n"/>
      <c r="AA24" s="8" t="n"/>
      <c r="AB24" s="8" t="n"/>
      <c r="AC24" s="8" t="n"/>
      <c r="AD24" s="8" t="n"/>
      <c r="AE24" s="8" t="inlineStr">
        <is>
          <t>Not started</t>
        </is>
      </c>
      <c r="AF24" s="8" t="inlineStr">
        <is>
          <t>Jul-2026</t>
        </is>
      </c>
      <c r="AG24" s="8" t="inlineStr">
        <is>
          <t>Oct-2026</t>
        </is>
      </c>
      <c r="AH24" s="9" t="n">
        <v>163.9756645962809</v>
      </c>
      <c r="AI24" s="10" t="n">
        <v>289</v>
      </c>
      <c r="AJ24" s="9" t="n">
        <v>204.9695807453511</v>
      </c>
      <c r="AK24" s="11" t="n">
        <v>-36.92275652779535</v>
      </c>
      <c r="AL24" s="15" t="n">
        <v>4.675740782965478</v>
      </c>
      <c r="AM24" s="12" t="n">
        <v>46757.40782965478</v>
      </c>
      <c r="AN24" s="8" t="inlineStr">
        <is>
          <t>Research</t>
        </is>
      </c>
      <c r="AO24" s="8" t="inlineStr">
        <is>
          <t>Watch</t>
        </is>
      </c>
      <c r="AP24" s="8" t="inlineStr">
        <is>
          <t>Mature</t>
        </is>
      </c>
      <c r="AQ24" s="8" t="inlineStr">
        <is>
          <t>See structured fields (Thesis / Risks / Valuation / Trigger / Sources) for detail.</t>
        </is>
      </c>
      <c r="AR24" s="8" t="inlineStr">
        <is>
          <t>Dominant cigarettes + FMCG + paperboards/agri conglomerate.</t>
        </is>
      </c>
      <c r="AS24" s="8" t="inlineStr">
        <is>
          <t>5yr sales growth only 9.87% (poor) - cigarette-volume dependency, FMCG-Others scaling slowly; ongoing restructuring (Sresta/Wimco amalgamation) to watch.</t>
        </is>
      </c>
      <c r="AT24" s="8" t="inlineStr">
        <is>
          <t>3yr ROE 35.2%; P/E ~17.6-19x; dividend yield ~5%; near debt-free; payout 74.5%.</t>
        </is>
      </c>
      <c r="AU24" s="8" t="inlineStr">
        <is>
          <t>Growth-catalyst check needed before promotion.</t>
        </is>
      </c>
      <c r="AV24" s="8" t="inlineStr">
        <is>
          <t>Verified 2026-07 (Screener).</t>
        </is>
      </c>
      <c r="AW24" s="13" t="n">
        <v>16.51999979515553</v>
      </c>
      <c r="AX24" s="13" t="n">
        <v>10</v>
      </c>
      <c r="AY24" s="23" t="n">
        <v>12.40735960928275</v>
      </c>
      <c r="AZ24" s="23" t="n">
        <v>5.54</v>
      </c>
      <c r="BA24" s="23" t="n"/>
      <c r="BB24" s="23" t="n">
        <v>16.988499</v>
      </c>
      <c r="BC24" s="23" t="n"/>
      <c r="BD24" s="23" t="n">
        <v>100</v>
      </c>
      <c r="BE24" s="23" t="n">
        <v>3.292521704191757</v>
      </c>
      <c r="BF24" s="23" t="n">
        <v>100</v>
      </c>
      <c r="BG24" s="23" t="n"/>
      <c r="BH24" s="23" t="inlineStr">
        <is>
          <t>OK</t>
        </is>
      </c>
      <c r="BI24" s="23" t="inlineStr">
        <is>
          <t>Watch (Quality, Pricey)</t>
        </is>
      </c>
      <c r="BM24" t="inlineStr">
        <is>
          <t>Overvalued</t>
        </is>
      </c>
    </row>
    <row r="25" ht="15" customHeight="1">
      <c r="A25" s="8" t="n">
        <v>24</v>
      </c>
      <c r="B25" s="8" t="inlineStr">
        <is>
          <t>Eicher Motors</t>
        </is>
      </c>
      <c r="C25" s="8" t="inlineStr">
        <is>
          <t>EICHERMOT.NS</t>
        </is>
      </c>
      <c r="D25" s="8" t="inlineStr">
        <is>
          <t>Automobiles</t>
        </is>
      </c>
      <c r="E25" s="8" t="inlineStr">
        <is>
          <t>Two-Wheelers/Commercial Vehicles</t>
        </is>
      </c>
      <c r="F25" s="8" t="n">
        <v>2036360019968</v>
      </c>
      <c r="G25" s="8" t="inlineStr">
        <is>
          <t>Research</t>
        </is>
      </c>
      <c r="H25" s="8" t="inlineStr">
        <is>
          <t>Pass</t>
        </is>
      </c>
      <c r="I25" s="15" t="n">
        <v>72</v>
      </c>
      <c r="J25" s="15" t="n">
        <v>35.26286496295839</v>
      </c>
      <c r="K25" s="8" t="n">
        <v>80</v>
      </c>
      <c r="L25" s="8" t="n">
        <v>100</v>
      </c>
      <c r="M25" s="8" t="inlineStr">
        <is>
          <t>Monitor - rich valuation, EV portfolio gap flagged by analysts</t>
        </is>
      </c>
      <c r="N25" s="8" t="inlineStr">
        <is>
          <t>None</t>
        </is>
      </c>
      <c r="O25" s="8" t="inlineStr">
        <is>
          <t>Royal Enfield (global leader, mid-weight motorcycles) + VECV JV with AB Volvo (trucks/buses)</t>
        </is>
      </c>
      <c r="P25" s="8" t="n">
        <v>38</v>
      </c>
      <c r="Q25" s="8" t="n">
        <v>2.11</v>
      </c>
      <c r="R25" s="8" t="n">
        <v>1.95</v>
      </c>
      <c r="S25" s="8" t="n">
        <v>41.2392383757963</v>
      </c>
      <c r="T25" s="8" t="n">
        <v>21.97289657631528</v>
      </c>
      <c r="U25" s="8" t="n">
        <v>18.21951555624663</v>
      </c>
      <c r="V25" s="8" t="n">
        <v>0.05</v>
      </c>
      <c r="W25" s="8" t="n">
        <v>1.730901866701827</v>
      </c>
      <c r="X25" s="8" t="n">
        <v>15.6</v>
      </c>
      <c r="Y25" s="8" t="n">
        <v>18</v>
      </c>
      <c r="Z25" s="8" t="n"/>
      <c r="AA25" s="8" t="n"/>
      <c r="AB25" s="8" t="n"/>
      <c r="AC25" s="8" t="n"/>
      <c r="AD25" s="8" t="n"/>
      <c r="AE25" s="8" t="inlineStr">
        <is>
          <t>Not started</t>
        </is>
      </c>
      <c r="AF25" s="8" t="inlineStr">
        <is>
          <t>Jul-2026</t>
        </is>
      </c>
      <c r="AG25" s="8" t="inlineStr">
        <is>
          <t>Oct-2026</t>
        </is>
      </c>
      <c r="AH25" s="9" t="n">
        <v>2110.352310941334</v>
      </c>
      <c r="AI25" s="10" t="n">
        <v>7454</v>
      </c>
      <c r="AJ25" s="9" t="n">
        <v>2637.940388676667</v>
      </c>
      <c r="AK25" s="11" t="n">
        <v>-181.2231857794755</v>
      </c>
      <c r="AL25" s="15" t="n">
        <v>3.510302394405763</v>
      </c>
      <c r="AM25" s="12" t="n">
        <v>35103.02394405763</v>
      </c>
      <c r="AN25" s="8" t="inlineStr">
        <is>
          <t>Research</t>
        </is>
      </c>
      <c r="AO25" s="8" t="inlineStr">
        <is>
          <t>Watch</t>
        </is>
      </c>
      <c r="AP25" s="8" t="inlineStr">
        <is>
          <t>Early</t>
        </is>
      </c>
      <c r="AQ25" s="8" t="inlineStr">
        <is>
          <t>See structured fields (Thesis / Risks / Valuation / Trigger / Sources) for detail.</t>
        </is>
      </c>
      <c r="AR25" s="8" t="inlineStr">
        <is>
          <t>Royal Enfield (global mid-weight motorcycle leader) + VECV JV with AB Volvo.</t>
        </is>
      </c>
      <c r="AS25" s="8" t="inlineStr">
        <is>
          <t>Valuation stretched (P/E ~38-41x, 'somewhat overvalued' per MoneyWorks4Me); P/B ~8-9.6x.</t>
        </is>
      </c>
      <c r="AT25" s="8" t="inlineStr">
        <is>
          <t>Current ROE ~24%; near debt-free; revenue CAGR ~15.6% (vs ~13.4% industry median).</t>
        </is>
      </c>
      <c r="AU25" s="8" t="inlineStr">
        <is>
          <t>Same valuation-discipline check as RR Kabel before promotion.</t>
        </is>
      </c>
      <c r="AV25" s="8" t="inlineStr">
        <is>
          <t>Verified 2026-07 (Screener/MoneyWorks4Me/Wisesheets).</t>
        </is>
      </c>
      <c r="AW25" s="13" t="n">
        <v>200.4600163534949</v>
      </c>
      <c r="AX25" s="13" t="n">
        <v>15.4840062</v>
      </c>
      <c r="AY25" s="23" t="n">
        <v>13.15943524232598</v>
      </c>
      <c r="AZ25" s="23" t="n">
        <v>1.09</v>
      </c>
      <c r="BA25" s="23" t="n"/>
      <c r="BB25" s="23" t="n">
        <v>37.00738</v>
      </c>
      <c r="BC25" s="23" t="n"/>
      <c r="BD25" s="23" t="n">
        <v>100</v>
      </c>
      <c r="BE25" s="23" t="n">
        <v>2.047597325115587</v>
      </c>
      <c r="BF25" s="23" t="n">
        <v>100</v>
      </c>
      <c r="BG25" s="23" t="n"/>
      <c r="BH25" s="23" t="inlineStr">
        <is>
          <t>OK</t>
        </is>
      </c>
      <c r="BI25" s="23" t="inlineStr">
        <is>
          <t>Hold</t>
        </is>
      </c>
      <c r="BM25" t="inlineStr">
        <is>
          <t>Extremely Overvalued</t>
        </is>
      </c>
    </row>
    <row r="26" ht="15" customHeight="1">
      <c r="A26" s="8" t="n">
        <v>25</v>
      </c>
      <c r="B26" s="8" t="inlineStr">
        <is>
          <t>CreditAccess Grameen</t>
        </is>
      </c>
      <c r="C26" s="8" t="inlineStr">
        <is>
          <t>CREDITACC.NS</t>
        </is>
      </c>
      <c r="D26" s="8" t="inlineStr">
        <is>
          <t>Financial Services</t>
        </is>
      </c>
      <c r="E26" s="8" t="inlineStr">
        <is>
          <t>Microfinance NBFC</t>
        </is>
      </c>
      <c r="F26" s="8" t="n">
        <v>246173237248</v>
      </c>
      <c r="G26" s="8" t="inlineStr">
        <is>
          <t>Research</t>
        </is>
      </c>
      <c r="H26" s="8" t="inlineStr">
        <is>
          <t>Conflict</t>
        </is>
      </c>
      <c r="I26" s="15" t="n">
        <v>35</v>
      </c>
      <c r="J26" s="15" t="n">
        <v>0</v>
      </c>
      <c r="K26" s="8" t="n">
        <v>55</v>
      </c>
      <c r="L26" s="8" t="n">
        <v>100</v>
      </c>
      <c r="M26" s="8" t="inlineStr">
        <is>
          <t>Active - confirm ROE/ROA recovery holds 2 more quarters vs FY27 guidance (16-20%)</t>
        </is>
      </c>
      <c r="N26" s="8" t="inlineStr">
        <is>
          <t>None</t>
        </is>
      </c>
      <c r="O26" s="8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8" t="n">
        <v>41.9</v>
      </c>
      <c r="Q26" s="8" t="n">
        <v>0.07000000000000001</v>
      </c>
      <c r="R26" s="8" t="n">
        <v>0.07000000000000001</v>
      </c>
      <c r="S26" s="8" t="n"/>
      <c r="T26" s="8" t="n">
        <v>9.916031751091841</v>
      </c>
      <c r="U26" s="8" t="n">
        <v>14.81153651116976</v>
      </c>
      <c r="V26" s="8" t="n">
        <v>2.96</v>
      </c>
      <c r="W26" s="8" t="n"/>
      <c r="X26" s="8" t="n">
        <v>14</v>
      </c>
      <c r="Y26" s="8" t="n">
        <v>619</v>
      </c>
      <c r="Z26" s="8" t="n"/>
      <c r="AA26" s="8" t="n"/>
      <c r="AB26" s="8" t="n"/>
      <c r="AC26" s="8" t="n"/>
      <c r="AD26" s="8" t="n"/>
      <c r="AE26" s="8" t="inlineStr">
        <is>
          <t>Not started</t>
        </is>
      </c>
      <c r="AF26" s="8" t="inlineStr">
        <is>
          <t>Jul-2026</t>
        </is>
      </c>
      <c r="AG26" s="8" t="inlineStr">
        <is>
          <t>Sep-2026</t>
        </is>
      </c>
      <c r="AH26" s="9" t="n"/>
      <c r="AI26" s="10" t="n">
        <v>1460</v>
      </c>
      <c r="AJ26" s="9" t="n"/>
      <c r="AK26" s="11">
        <f>IF(OR(NOT(ISNUMBER(AJ26)),AJ26&lt;=0,AI26=""),"",ROUND((AJ26-AI26)/AJ26*100,1))</f>
        <v/>
      </c>
      <c r="AL26" s="15">
        <f>IF(H26="Fail","Not Eligible (Failed Gate)",IF(J26="","Pending Score",IF(J26&gt;=90,"10%",IF(J26&gt;=80,"7.5%",IF(J26&gt;=70,"5%","Watchlist only")))))</f>
        <v/>
      </c>
      <c r="AM26" s="12">
        <f>IFERROR(ROUND(VALUE(SUBSTITUTE(AL26,"%",""))/100*Dashboard!$B$11,0),"")</f>
        <v/>
      </c>
      <c r="AN26" s="8" t="inlineStr">
        <is>
          <t>Research (Recovery watch)</t>
        </is>
      </c>
      <c r="AO26" s="8" t="inlineStr">
        <is>
          <t>Watch</t>
        </is>
      </c>
      <c r="AP26" s="8" t="inlineStr">
        <is>
          <t>Early</t>
        </is>
      </c>
      <c r="AQ26" s="8" t="inlineStr">
        <is>
          <t>See structured fields (Thesis / Risks / Valuation / Trigger / Sources) for detail.</t>
        </is>
      </c>
      <c r="AR26" s="8" t="inlineStr">
        <is>
          <t>India's largest MFI (Grameen Koota); diversifying into retail/individual/two-wheeler lending.</t>
        </is>
      </c>
      <c r="AS26" s="8" t="inlineStr">
        <is>
          <t>Trailing 3yr ROE only 13.8% (below threshold) after FY26 MFI-sector stress (Karnataka delinquencies).</t>
        </is>
      </c>
      <c r="AT26" s="8" t="inlineStr">
        <is>
          <t>FY26 full-year ROA 2.7%/ROE 10.7%; Q4 FY26 recovered to ROA 4.4%/ROE 17.8%; GNPA improved to 3.17%; P/E ~41.9x. FY27 guidance ROE 16-20%.</t>
        </is>
      </c>
      <c r="AU26" s="8" t="inlineStr">
        <is>
          <t>Needs 1-2 more quarters of recovery confirmation vs guidance.</t>
        </is>
      </c>
      <c r="AV26" s="8" t="inlineStr">
        <is>
          <t>Verified 2026-07 (Screener/company guidance/MOFSL).</t>
        </is>
      </c>
      <c r="AW26" s="13" t="n">
        <v>48.42000089170692</v>
      </c>
      <c r="AX26" s="13" t="n">
        <v>10.5100006</v>
      </c>
      <c r="AY26" s="23">
        <f>IFERROR(IF(OR(T26="",T26=0,AW26="N/A",T26-AX26&lt;3),"N/A",ROUND((1-(AX26/T26))*100/(Dashboard!$B$14-AX26),1)),"N/A")</f>
        <v/>
      </c>
      <c r="AZ26" s="23" t="n"/>
      <c r="BA26" s="23" t="n"/>
      <c r="BB26" s="23" t="n">
        <v>31.736885</v>
      </c>
      <c r="BC26" s="23" t="n"/>
      <c r="BD26" s="23" t="n">
        <v>100</v>
      </c>
      <c r="BE26" s="23" t="n">
        <v>100</v>
      </c>
      <c r="BF26" s="23" t="n">
        <v>100</v>
      </c>
      <c r="BG26" s="23" t="n"/>
      <c r="BH26" s="23" t="inlineStr">
        <is>
          <t>Negative FCF / DCF Invalid</t>
        </is>
      </c>
      <c r="BI26" s="23" t="inlineStr">
        <is>
          <t>Avoid</t>
        </is>
      </c>
    </row>
    <row r="27" ht="15" customHeight="1">
      <c r="A27" s="8" t="n">
        <v>26</v>
      </c>
      <c r="B27" s="8" t="inlineStr">
        <is>
          <t>Punjab National Bank</t>
        </is>
      </c>
      <c r="C27" s="8" t="inlineStr">
        <is>
          <t>PNB.NS</t>
        </is>
      </c>
      <c r="D27" s="8" t="inlineStr">
        <is>
          <t>Financial Services</t>
        </is>
      </c>
      <c r="E27" s="8" t="inlineStr">
        <is>
          <t>Public Sector Bank</t>
        </is>
      </c>
      <c r="F27" s="8" t="n">
        <v>1160212512768</v>
      </c>
      <c r="G27" s="8" t="inlineStr">
        <is>
          <t>Research</t>
        </is>
      </c>
      <c r="H27" s="8" t="inlineStr">
        <is>
          <t>Fail</t>
        </is>
      </c>
      <c r="I27" s="8" t="n">
        <v>16.66666666666667</v>
      </c>
      <c r="J27" s="8" t="n">
        <v>12.03753444708187</v>
      </c>
      <c r="K27" s="8" t="n">
        <v>70</v>
      </c>
      <c r="L27" s="8" t="n">
        <v>60</v>
      </c>
      <c r="M27" s="8" t="inlineStr">
        <is>
          <t>Low - PSU bank, improving but sub-scale vs SBI</t>
        </is>
      </c>
      <c r="N27" s="8" t="inlineStr">
        <is>
          <t>None</t>
        </is>
      </c>
      <c r="O27" s="8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8" t="n">
        <v>7.3</v>
      </c>
      <c r="Q27" s="8" t="n">
        <v>0.74</v>
      </c>
      <c r="R27" s="8" t="n">
        <v>0.65</v>
      </c>
      <c r="S27" s="8" t="n"/>
      <c r="T27" s="8" t="n">
        <v>12.20793598906159</v>
      </c>
      <c r="U27" s="8" t="n">
        <v>15.27</v>
      </c>
      <c r="V27" s="8" t="n">
        <v>0.66</v>
      </c>
      <c r="W27" s="8" t="n">
        <v>61.7927546470487</v>
      </c>
      <c r="X27" s="8" t="n">
        <v>9.800000000000001</v>
      </c>
      <c r="Y27" s="8" t="n">
        <v>-46</v>
      </c>
      <c r="Z27" s="8" t="n"/>
      <c r="AA27" s="8" t="n"/>
      <c r="AB27" s="8" t="n"/>
      <c r="AC27" s="8" t="n"/>
      <c r="AD27" s="8" t="n"/>
      <c r="AE27" s="8" t="inlineStr">
        <is>
          <t>Not started</t>
        </is>
      </c>
      <c r="AF27" s="8" t="inlineStr">
        <is>
          <t>Jul-2026</t>
        </is>
      </c>
      <c r="AG27" s="8" t="inlineStr">
        <is>
          <t>Oct-2026</t>
        </is>
      </c>
      <c r="AH27" s="9" t="n">
        <v>260.3949652129983</v>
      </c>
      <c r="AI27" s="10" t="n">
        <v>106</v>
      </c>
      <c r="AJ27" s="9" t="n">
        <v>325.4937065162478</v>
      </c>
      <c r="AK27" s="11" t="n">
        <v>68.98557545690647</v>
      </c>
      <c r="AL27" s="15" t="n">
        <v>0.7189782118393417</v>
      </c>
      <c r="AM27" s="12" t="n">
        <v>7189.782118393417</v>
      </c>
      <c r="AN27" s="8" t="inlineStr">
        <is>
          <t>Research</t>
        </is>
      </c>
      <c r="AO27" s="8" t="inlineStr">
        <is>
          <t>Watch</t>
        </is>
      </c>
      <c r="AP27" s="8" t="inlineStr">
        <is>
          <t>Early</t>
        </is>
      </c>
      <c r="AQ27" s="8" t="inlineStr">
        <is>
          <t>See structured fields (Thesis / Risks / Valuation / Trigger / Sources) for detail.</t>
        </is>
      </c>
      <c r="AR27" s="8" t="inlineStr">
        <is>
          <t>India's 2nd-largest PSU bank; post-NPA-cycle turnaround story.</t>
        </is>
      </c>
      <c r="AS27" s="8" t="inlineStr">
        <is>
          <t>ROE below SBI's and below 20% (non-bank) threshold; 5yr sales growth poor (9.8%).</t>
        </is>
      </c>
      <c r="AT27" s="8" t="inlineStr">
        <is>
          <t>ROE ~14.9%; ROA ~0.9-1.1%; P/E ~7.3-8x (cheap).</t>
        </is>
      </c>
      <c r="AU27" s="8" t="inlineStr">
        <is>
          <t>N/A - excluded vs SBI as better-quality PSU-bank exposure.</t>
        </is>
      </c>
      <c r="AV27" s="8" t="inlineStr">
        <is>
          <t>Verified 2026-07 (Screener/GuruFocus/Univest).</t>
        </is>
      </c>
      <c r="AW27" s="13" t="n">
        <v>16</v>
      </c>
      <c r="AX27" s="13" t="n">
        <v>10.6308197597</v>
      </c>
      <c r="AY27" s="23" t="n">
        <v>20.34335665726549</v>
      </c>
      <c r="AZ27" s="23" t="n">
        <v>2.89</v>
      </c>
      <c r="BA27" s="23" t="n"/>
      <c r="BB27" s="23" t="n">
        <v>6.309375</v>
      </c>
      <c r="BC27" s="23" t="n"/>
      <c r="BD27" s="23" t="n">
        <v>60</v>
      </c>
      <c r="BE27" s="23" t="n">
        <v>57.25954331474312</v>
      </c>
      <c r="BF27" s="23" t="n">
        <v>100</v>
      </c>
      <c r="BG27" s="23" t="n"/>
      <c r="BH27" s="23" t="inlineStr">
        <is>
          <t>Missing EV/EBIT (EBIT &lt;= 0)</t>
        </is>
      </c>
      <c r="BI27" s="23" t="inlineStr">
        <is>
          <t>Avoid</t>
        </is>
      </c>
      <c r="BM27" t="inlineStr">
        <is>
          <t>Undervalued</t>
        </is>
      </c>
    </row>
    <row r="28" ht="15" customHeight="1">
      <c r="A28" s="8" t="n">
        <v>27</v>
      </c>
      <c r="B28" s="8" t="inlineStr">
        <is>
          <t>Coforge</t>
        </is>
      </c>
      <c r="C28" s="8" t="inlineStr">
        <is>
          <t>COFORGE.NS</t>
        </is>
      </c>
      <c r="D28" s="8" t="inlineStr">
        <is>
          <t>Information Technology</t>
        </is>
      </c>
      <c r="E28" s="8" t="inlineStr">
        <is>
          <t>IT Services &amp; Consulting</t>
        </is>
      </c>
      <c r="F28" s="8" t="n">
        <v>640086638592</v>
      </c>
      <c r="G28" s="8" t="inlineStr">
        <is>
          <t>Deferred</t>
        </is>
      </c>
      <c r="H28" s="8" t="inlineStr">
        <is>
          <t>Conflict</t>
        </is>
      </c>
      <c r="I28" s="15" t="n">
        <v>79</v>
      </c>
      <c r="J28" s="15" t="n">
        <v>36.53033902857261</v>
      </c>
      <c r="K28" s="8" t="n">
        <v>93</v>
      </c>
      <c r="L28" s="8" t="n">
        <v>100</v>
      </c>
      <c r="M28" s="8" t="inlineStr">
        <is>
          <t>High - resolvable via post-Encora quarterly filings</t>
        </is>
      </c>
      <c r="N28" s="8" t="inlineStr">
        <is>
          <t>Cigniti Technologies amalgamation (completed)</t>
        </is>
      </c>
      <c r="O28" s="8" t="inlineStr">
        <is>
          <t>IT services, post-Encora acquisition integration phase</t>
        </is>
      </c>
      <c r="P28" s="8" t="n">
        <v>37</v>
      </c>
      <c r="Q28" s="8" t="n">
        <v>0.4</v>
      </c>
      <c r="R28" s="8" t="n">
        <v>0.4</v>
      </c>
      <c r="S28" s="8" t="n">
        <v>26.97647023015437</v>
      </c>
      <c r="T28" s="8" t="n">
        <v>16.0702848996963</v>
      </c>
      <c r="U28" s="8" t="n">
        <v>21.08901177310025</v>
      </c>
      <c r="V28" s="8" t="n">
        <v>0.7</v>
      </c>
      <c r="W28" s="8" t="n">
        <v>1.644878561676282</v>
      </c>
      <c r="X28" s="8" t="n">
        <v>35.9</v>
      </c>
      <c r="Y28" s="8" t="n">
        <v>91.59999999999999</v>
      </c>
      <c r="Z28" s="8" t="n"/>
      <c r="AA28" s="8" t="n"/>
      <c r="AB28" s="8" t="n"/>
      <c r="AC28" s="8" t="n"/>
      <c r="AD28" s="8" t="n"/>
      <c r="AE28" s="8" t="inlineStr">
        <is>
          <t>Not started</t>
        </is>
      </c>
      <c r="AF28" s="8" t="inlineStr">
        <is>
          <t>Jul-2026</t>
        </is>
      </c>
      <c r="AG28" s="8" t="inlineStr">
        <is>
          <t>Oct-2026</t>
        </is>
      </c>
      <c r="AH28" s="9" t="n">
        <v>377.5375853645027</v>
      </c>
      <c r="AI28" s="10" t="n">
        <v>1464</v>
      </c>
      <c r="AJ28" s="9" t="n">
        <v>471.9219817056284</v>
      </c>
      <c r="AK28" s="11" t="n">
        <v>-206.385389121779</v>
      </c>
      <c r="AL28" s="15" t="n">
        <v>3.636475274914664</v>
      </c>
      <c r="AM28" s="12" t="n">
        <v>36364.75274914664</v>
      </c>
      <c r="AN28" s="8" t="inlineStr">
        <is>
          <t>Deferred</t>
        </is>
      </c>
      <c r="AO28" s="8" t="inlineStr">
        <is>
          <t>Watch</t>
        </is>
      </c>
      <c r="AP28" s="8" t="inlineStr">
        <is>
          <t>Early</t>
        </is>
      </c>
      <c r="AQ28" s="8" t="inlineStr">
        <is>
          <t>See structured fields (Thesis / Risks / Valuation / Trigger / Sources) for detail.</t>
        </is>
      </c>
      <c r="AR28" s="8" t="inlineStr">
        <is>
          <t>IT services + Encora acquisition-led growth.</t>
        </is>
      </c>
      <c r="AS28" s="8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T28" s="8" t="inlineStr">
        <is>
          <t>P/E ~36-38x vs TCS ~18.6x (~2x premium).</t>
        </is>
      </c>
      <c r="AU28" s="8" t="inlineStr">
        <is>
          <t>2 consecutive quarters of post-Encora integration proof, debt reduction, EPS accretion validated.</t>
        </is>
      </c>
      <c r="AV28" s="8" t="inlineStr">
        <is>
          <t>Session review (multiple).</t>
        </is>
      </c>
      <c r="AW28" s="13" t="n">
        <v>43.81999827253621</v>
      </c>
      <c r="AX28" s="13" t="n">
        <v>10</v>
      </c>
      <c r="AY28" s="23" t="n">
        <v>10.76955686229184</v>
      </c>
      <c r="AZ28" s="23" t="n">
        <v>1.06</v>
      </c>
      <c r="BA28" s="23" t="n"/>
      <c r="BB28" s="23" t="n">
        <v>32.99635</v>
      </c>
      <c r="BC28" s="23" t="n"/>
      <c r="BD28" s="23" t="n">
        <v>100</v>
      </c>
      <c r="BE28" s="23" t="n">
        <v>7.518129041588331</v>
      </c>
      <c r="BF28" s="23" t="n">
        <v>100</v>
      </c>
      <c r="BG28" s="23" t="n"/>
      <c r="BH28" s="23" t="inlineStr">
        <is>
          <t>OK</t>
        </is>
      </c>
      <c r="BI28" s="23" t="inlineStr">
        <is>
          <t>Watch (Quality, Pricey)</t>
        </is>
      </c>
      <c r="BM28" t="inlineStr">
        <is>
          <t>Extremely Overvalued</t>
        </is>
      </c>
    </row>
    <row r="29" ht="15" customHeight="1">
      <c r="A29" s="8" t="n">
        <v>28</v>
      </c>
      <c r="B29" s="8" t="inlineStr">
        <is>
          <t>Premier Energies</t>
        </is>
      </c>
      <c r="C29" s="8" t="inlineStr">
        <is>
          <t>PREMIERENE.NS</t>
        </is>
      </c>
      <c r="D29" s="8" t="inlineStr">
        <is>
          <t>Utilities/Industrials</t>
        </is>
      </c>
      <c r="E29" s="8" t="inlineStr">
        <is>
          <t>Solar Cell &amp; Module Manufacturing</t>
        </is>
      </c>
      <c r="F29" s="8" t="n">
        <v>471108452352</v>
      </c>
      <c r="G29" s="8" t="inlineStr">
        <is>
          <t>Deferred</t>
        </is>
      </c>
      <c r="H29" s="8" t="inlineStr">
        <is>
          <t>Conflict</t>
        </is>
      </c>
      <c r="I29" s="15" t="n">
        <v>72.5</v>
      </c>
      <c r="J29" s="15" t="n">
        <v>10.14606951805904</v>
      </c>
      <c r="K29" s="8" t="n">
        <v>80</v>
      </c>
      <c r="L29" s="8" t="n">
        <v>100</v>
      </c>
      <c r="M29" s="8" t="inlineStr">
        <is>
          <t>Medium - structural (policy) + resolvable (FCF checkpoint) mixed gap</t>
        </is>
      </c>
      <c r="N29" s="8" t="inlineStr">
        <is>
          <t>None</t>
        </is>
      </c>
      <c r="O29" s="8" t="inlineStr">
        <is>
          <t>Solar cell/module manufacturing, capacity expansion phase</t>
        </is>
      </c>
      <c r="P29" s="8" t="n">
        <v>30.8</v>
      </c>
      <c r="Q29" s="8" t="n">
        <v>0.51</v>
      </c>
      <c r="R29" s="8" t="n">
        <v>0.5</v>
      </c>
      <c r="S29" s="8" t="n">
        <v>25.64208413289961</v>
      </c>
      <c r="T29" s="8" t="n">
        <v>35.02647805451143</v>
      </c>
      <c r="U29" s="8" t="n">
        <v>25.18124856005272</v>
      </c>
      <c r="V29" s="8" t="n">
        <v>0.86</v>
      </c>
      <c r="W29" s="8" t="n">
        <v>-3.518827208049401</v>
      </c>
      <c r="X29" s="8" t="n">
        <v>44</v>
      </c>
      <c r="Y29" s="8" t="n">
        <v>60</v>
      </c>
      <c r="Z29" s="8" t="n"/>
      <c r="AA29" s="8" t="n"/>
      <c r="AB29" s="8" t="n"/>
      <c r="AC29" s="8" t="n"/>
      <c r="AD29" s="8" t="n"/>
      <c r="AE29" s="8" t="inlineStr">
        <is>
          <t>Not started</t>
        </is>
      </c>
      <c r="AF29" s="8" t="inlineStr">
        <is>
          <t>Jul-2026</t>
        </is>
      </c>
      <c r="AG29" s="8" t="inlineStr">
        <is>
          <t>Oct-2026</t>
        </is>
      </c>
      <c r="AH29" s="9" t="n"/>
      <c r="AI29" s="10" t="n">
        <v>1065</v>
      </c>
      <c r="AJ29" s="9" t="n"/>
      <c r="AK29" s="11">
        <f>IF(OR(NOT(ISNUMBER(AJ29)),AJ29&lt;=0,AI29=""),"",ROUND((AJ29-AI29)/AJ29*100,1))</f>
        <v/>
      </c>
      <c r="AL29" s="15" t="n">
        <v>1.010007898123488</v>
      </c>
      <c r="AM29" s="12" t="n">
        <v>10100.07898123488</v>
      </c>
      <c r="AN29" s="8" t="inlineStr">
        <is>
          <t>Deferred (Policy-dependent)</t>
        </is>
      </c>
      <c r="AO29" s="8" t="inlineStr">
        <is>
          <t>Watch</t>
        </is>
      </c>
      <c r="AP29" s="8" t="inlineStr">
        <is>
          <t>Early</t>
        </is>
      </c>
      <c r="AQ29" s="8" t="inlineStr">
        <is>
          <t>See structured fields (Thesis / Risks / Valuation / Trigger / Sources) for detail.</t>
        </is>
      </c>
      <c r="AR29" s="8" t="inlineStr">
        <is>
          <t>Solar module/cell manufacturer; high ROE; policy-tailwind (ALMM/PLI) beneficiary.</t>
        </is>
      </c>
      <c r="AS29" s="8" t="inlineStr">
        <is>
          <t>D/E ~0.86 fails &lt;0.3 threshold; FCF currently negative (~-Rs.17.4bn) from heavy capex; policy-dependent (structural, permanent risk tag).</t>
        </is>
      </c>
      <c r="AT29" s="8" t="inlineStr">
        <is>
          <t>PEG ~1.06 (passes); ROE ~42% (strong).</t>
        </is>
      </c>
      <c r="AU29" s="8" t="inlineStr">
        <is>
          <t>FCF-to-positive checkpoint, review quarterly.</t>
        </is>
      </c>
      <c r="AV29" s="8" t="inlineStr">
        <is>
          <t>Session review.</t>
        </is>
      </c>
      <c r="AW29" s="13" t="n">
        <v>33.59999716754503</v>
      </c>
      <c r="AX29" s="13" t="n">
        <v>10</v>
      </c>
      <c r="AY29" s="23">
        <f>IFERROR(IF(OR(T29="",T29=0,AW29="N/A",T29-AX29&lt;3),"N/A",ROUND((1-(AX29/T29))*100/(Dashboard!$B$14-AX29),1)),"N/A")</f>
        <v/>
      </c>
      <c r="AZ29" s="23" t="n">
        <v>0.15</v>
      </c>
      <c r="BA29" s="23" t="n"/>
      <c r="BB29" s="23" t="n">
        <v>31.068455</v>
      </c>
      <c r="BC29" s="23" t="n"/>
      <c r="BD29" s="23" t="n">
        <v>100</v>
      </c>
      <c r="BE29" s="23" t="n">
        <v>86.00542135440132</v>
      </c>
      <c r="BF29" s="23" t="n">
        <v>100</v>
      </c>
      <c r="BG29" s="23" t="n"/>
      <c r="BH29" s="23" t="inlineStr">
        <is>
          <t>Negative FCF / DCF Invalid</t>
        </is>
      </c>
      <c r="BI29" s="23" t="inlineStr">
        <is>
          <t>Avoid</t>
        </is>
      </c>
    </row>
    <row r="30" ht="15" customHeight="1">
      <c r="A30" s="8" t="n">
        <v>29</v>
      </c>
      <c r="B30" s="8" t="inlineStr">
        <is>
          <t>Star Health and Allied Insurance Company</t>
        </is>
      </c>
      <c r="C30" s="8" t="inlineStr">
        <is>
          <t>STARHEALTH.NS</t>
        </is>
      </c>
      <c r="D30" s="8" t="inlineStr">
        <is>
          <t>Financial Services</t>
        </is>
      </c>
      <c r="E30" s="8" t="inlineStr">
        <is>
          <t>General/Health Insurance</t>
        </is>
      </c>
      <c r="F30" s="8" t="n">
        <v>343745331200</v>
      </c>
      <c r="G30" s="8" t="inlineStr">
        <is>
          <t>Deferred</t>
        </is>
      </c>
      <c r="H30" s="8" t="inlineStr">
        <is>
          <t>Pass</t>
        </is>
      </c>
      <c r="I30" s="15" t="n">
        <v>56.66666666666667</v>
      </c>
      <c r="J30" s="15" t="n">
        <v>26.96942465902209</v>
      </c>
      <c r="K30" s="8" t="n">
        <v>92</v>
      </c>
      <c r="L30" s="8" t="n">
        <v>60</v>
      </c>
      <c r="M30" s="8" t="inlineStr">
        <is>
          <t>High - resolvable via next 1-2 quarters underwriting data</t>
        </is>
      </c>
      <c r="N30" s="8" t="inlineStr">
        <is>
          <t>None</t>
        </is>
      </c>
      <c r="O30" s="8" t="inlineStr">
        <is>
          <t>Standalone health insurer, retail-focused</t>
        </is>
      </c>
      <c r="P30" s="8" t="n">
        <v>45</v>
      </c>
      <c r="Q30" s="8" t="n">
        <v>1.7</v>
      </c>
      <c r="R30" s="8" t="n">
        <v>1.61</v>
      </c>
      <c r="S30" s="8" t="n"/>
      <c r="T30" s="8" t="n">
        <v>7.376026655295435</v>
      </c>
      <c r="U30" s="8" t="n">
        <v>11.65</v>
      </c>
      <c r="V30" s="8" t="n">
        <v>0.05</v>
      </c>
      <c r="W30" s="8" t="n">
        <v>5.375082916147085</v>
      </c>
      <c r="X30" s="8" t="n">
        <v>26.4</v>
      </c>
      <c r="Y30" s="8" t="n">
        <v>-30</v>
      </c>
      <c r="Z30" s="8" t="n"/>
      <c r="AA30" s="8" t="n"/>
      <c r="AB30" s="8" t="n"/>
      <c r="AC30" s="8" t="n"/>
      <c r="AD30" s="8" t="n"/>
      <c r="AE30" s="8" t="inlineStr">
        <is>
          <t>Not started</t>
        </is>
      </c>
      <c r="AF30" s="8" t="inlineStr">
        <is>
          <t>Jul-2026</t>
        </is>
      </c>
      <c r="AG30" s="8" t="inlineStr">
        <is>
          <t>Sep-2026</t>
        </is>
      </c>
      <c r="AH30" s="9" t="n">
        <v>313.1431976798805</v>
      </c>
      <c r="AI30" s="10" t="n">
        <v>587</v>
      </c>
      <c r="AJ30" s="9" t="n">
        <v>391.4289970998506</v>
      </c>
      <c r="AK30" s="11" t="n">
        <v>-49.24801287804824</v>
      </c>
      <c r="AL30" s="15" t="n">
        <v>1.610830590011742</v>
      </c>
      <c r="AM30" s="12" t="n">
        <v>16108.30590011742</v>
      </c>
      <c r="AN30" s="8" t="inlineStr">
        <is>
          <t>Deferred (Weak ROE)</t>
        </is>
      </c>
      <c r="AO30" s="8" t="inlineStr">
        <is>
          <t>Watch</t>
        </is>
      </c>
      <c r="AP30" s="8" t="inlineStr">
        <is>
          <t>Early</t>
        </is>
      </c>
      <c r="AQ30" s="8" t="inlineStr">
        <is>
          <t>See structured fields (Thesis / Risks / Valuation / Trigger / Sources) for detail.</t>
        </is>
      </c>
      <c r="AR30" s="8" t="inlineStr">
        <is>
          <t>Health insurer; underwriting profitability recovering.</t>
        </is>
      </c>
      <c r="AS30" s="8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T30" s="8" t="inlineStr">
        <is>
          <t>Combined ratio 98.9% (Q3 FY26, improved from 102.1% YoY); renewal ratio 99%; loss/incurred claim ratio improved 71.8%-&gt;68.8%.</t>
        </is>
      </c>
      <c r="AU30" s="8" t="inlineStr">
        <is>
          <t>Awaiting 1-2 more quarters before candidate-pool promotion.</t>
        </is>
      </c>
      <c r="AV30" s="8" t="inlineStr">
        <is>
          <t>Session review; Business Confidence = Moderate.</t>
        </is>
      </c>
      <c r="AW30" s="13" t="n">
        <v>9.489999437942521</v>
      </c>
      <c r="AX30" s="13" t="n">
        <v>10</v>
      </c>
      <c r="AY30" s="23" t="n">
        <v>41.24646966278721</v>
      </c>
      <c r="AZ30" s="23" t="n"/>
      <c r="BA30" s="23" t="n"/>
      <c r="BB30" s="23" t="n">
        <v>61.55954</v>
      </c>
      <c r="BC30" s="23" t="n"/>
      <c r="BD30" s="23" t="n">
        <v>60</v>
      </c>
      <c r="BE30" s="23" t="n">
        <v>6.22415980464084</v>
      </c>
      <c r="BF30" s="23" t="n">
        <v>100</v>
      </c>
      <c r="BG30" s="23" t="n"/>
      <c r="BH30" s="23" t="inlineStr">
        <is>
          <t>Missing EV/EBIT (EBIT &lt;= 0)</t>
        </is>
      </c>
      <c r="BI30" s="23" t="inlineStr">
        <is>
          <t>Avoid</t>
        </is>
      </c>
      <c r="BM30" t="inlineStr">
        <is>
          <t>Overvalued</t>
        </is>
      </c>
    </row>
    <row r="31" ht="15" customHeight="1">
      <c r="A31" s="8" t="n">
        <v>30</v>
      </c>
      <c r="B31" s="8" t="inlineStr">
        <is>
          <t>Vikram Solar</t>
        </is>
      </c>
      <c r="C31" s="8" t="inlineStr">
        <is>
          <t>VIKRAMSOLR.NS</t>
        </is>
      </c>
      <c r="D31" s="8" t="inlineStr">
        <is>
          <t>Industrials</t>
        </is>
      </c>
      <c r="E31" s="8" t="inlineStr">
        <is>
          <t>Solar PV Module Manufacturing</t>
        </is>
      </c>
      <c r="F31" s="8" t="n">
        <v>66560876544</v>
      </c>
      <c r="G31" s="8" t="inlineStr">
        <is>
          <t>Deferred</t>
        </is>
      </c>
      <c r="H31" s="8" t="inlineStr">
        <is>
          <t>Conflict</t>
        </is>
      </c>
      <c r="I31" s="15" t="n">
        <v>55</v>
      </c>
      <c r="J31" s="15" t="n">
        <v>21.89948023208829</v>
      </c>
      <c r="K31" s="8" t="n">
        <v>40</v>
      </c>
      <c r="L31" s="8" t="n">
        <v>100</v>
      </c>
      <c r="M31" s="8" t="inlineStr">
        <is>
          <t>Blocked - understand NCLAT set-aside (29-Jun-2026) and reconcile D/E before further work</t>
        </is>
      </c>
      <c r="N31" s="8" t="inlineStr">
        <is>
          <t>NCLAT set aside NCLT Kolkata insolvency admission (29-Jun-2026)</t>
        </is>
      </c>
      <c r="O31" s="8" t="inlineStr">
        <is>
          <t>Solar PV module manufacturer + EPC/O&amp;M; large order book (10.3GW, 2x FY25 capacity)</t>
        </is>
      </c>
      <c r="P31" s="8" t="n">
        <v>16.5</v>
      </c>
      <c r="Q31" s="8" t="n">
        <v>0.07000000000000001</v>
      </c>
      <c r="R31" s="8" t="n">
        <v>0.07000000000000001</v>
      </c>
      <c r="S31" s="8" t="n">
        <v>9.628080272458622</v>
      </c>
      <c r="T31" s="8" t="n">
        <v>14.85027274793545</v>
      </c>
      <c r="U31" s="8" t="n">
        <v>20.11792262940377</v>
      </c>
      <c r="V31" s="8" t="n">
        <v>1.81</v>
      </c>
      <c r="W31" s="8" t="n">
        <v>-1.273769076284456</v>
      </c>
      <c r="X31" s="8" t="n">
        <v>28.5</v>
      </c>
      <c r="Y31" s="8" t="n">
        <v>236</v>
      </c>
      <c r="Z31" s="8" t="n"/>
      <c r="AA31" s="8" t="n"/>
      <c r="AB31" s="8" t="n"/>
      <c r="AC31" s="8" t="n"/>
      <c r="AD31" s="8" t="n"/>
      <c r="AE31" s="8" t="inlineStr">
        <is>
          <t>Not started</t>
        </is>
      </c>
      <c r="AF31" s="8" t="inlineStr">
        <is>
          <t>Jul-2026</t>
        </is>
      </c>
      <c r="AG31" s="8" t="inlineStr">
        <is>
          <t>Aug-2026</t>
        </is>
      </c>
      <c r="AH31" s="9" t="n">
        <v>44.72979551577966</v>
      </c>
      <c r="AI31" s="10" t="n">
        <v>189</v>
      </c>
      <c r="AJ31" s="9" t="n">
        <v>55.91224439472457</v>
      </c>
      <c r="AK31" s="11" t="n">
        <v>-228.5326890174552</v>
      </c>
      <c r="AL31" s="15" t="n">
        <v>2.18002133336848</v>
      </c>
      <c r="AM31" s="12" t="n">
        <v>21800.21333368481</v>
      </c>
      <c r="AN31" s="8" t="inlineStr">
        <is>
          <t>Deferred (Blocked - legal)</t>
        </is>
      </c>
      <c r="AO31" s="8" t="inlineStr">
        <is>
          <t>Watch</t>
        </is>
      </c>
      <c r="AP31" s="8" t="inlineStr">
        <is>
          <t>Early</t>
        </is>
      </c>
      <c r="AQ31" s="8" t="inlineStr">
        <is>
          <t>See structured fields (Thesis / Risks / Valuation / Trigger / Sources) for detail.</t>
        </is>
      </c>
      <c r="AR31" s="8" t="inlineStr">
        <is>
          <t>Solar PV module manufacturer + EPC/O&amp;M; large order book (10.3GW).</t>
        </is>
      </c>
      <c r="AS31" s="8" t="inlineStr">
        <is>
          <t>MAJOR: NCLT insolvency case (set aside by NCLAT 29-Jun-2026, root cause unverified); D/E conflict (1.81x vs implied lower post-paydown); previously flagged as 'story over evidence' lapse.</t>
        </is>
      </c>
      <c r="AT31" s="8" t="inlineStr">
        <is>
          <t>P/E ~16.5x (cheap, 42% discount to peer median); ROE improved to 19.67% (2024) from 4.05% (2023); revenue CAGR 17-28.5%; Altman Z-score 3.87.</t>
        </is>
      </c>
      <c r="AU31" s="8" t="inlineStr">
        <is>
          <t>Insolvency matter fully understood AND D/E reconciled to primary filing before promotion out of Conflict.</t>
        </is>
      </c>
      <c r="AV31" s="8" t="inlineStr">
        <is>
          <t>Verified 2026-07 (Screener/Tijori/ValueResearch/wwipl).</t>
        </is>
      </c>
      <c r="AW31" s="13" t="n">
        <v>13.58999928754046</v>
      </c>
      <c r="AX31" s="13" t="n">
        <v>10</v>
      </c>
      <c r="AY31" s="23" t="n">
        <v>4.114219602260822</v>
      </c>
      <c r="AZ31" s="23" t="n"/>
      <c r="BA31" s="23" t="n"/>
      <c r="BB31" s="23" t="n">
        <v>13.516557</v>
      </c>
      <c r="BC31" s="23" t="n"/>
      <c r="BD31" s="23" t="n">
        <v>100</v>
      </c>
      <c r="BE31" s="23" t="n">
        <v>20.36552642876986</v>
      </c>
      <c r="BF31" s="23" t="n">
        <v>100</v>
      </c>
      <c r="BG31" s="23" t="n"/>
      <c r="BH31" s="23" t="inlineStr">
        <is>
          <t>OK</t>
        </is>
      </c>
      <c r="BI31" s="23" t="inlineStr">
        <is>
          <t>Avoid</t>
        </is>
      </c>
      <c r="BM31" t="inlineStr">
        <is>
          <t>Extremely Overvalued</t>
        </is>
      </c>
    </row>
    <row r="32" ht="15" customHeight="1">
      <c r="A32" s="8" t="n">
        <v>31</v>
      </c>
      <c r="B32" s="8" t="inlineStr">
        <is>
          <t>SANDUMA</t>
        </is>
      </c>
      <c r="C32" s="8" t="inlineStr">
        <is>
          <t>SANDUMA.NS</t>
        </is>
      </c>
      <c r="D32" s="8" t="inlineStr">
        <is>
          <t>Materials</t>
        </is>
      </c>
      <c r="E32" s="8" t="inlineStr">
        <is>
          <t>Mining - Manganese &amp; Iron Ore</t>
        </is>
      </c>
      <c r="F32" s="8" t="n">
        <v>97177214976</v>
      </c>
      <c r="G32" s="8" t="inlineStr">
        <is>
          <t>ML Screen</t>
        </is>
      </c>
      <c r="H32" s="8" t="inlineStr">
        <is>
          <t>Fail</t>
        </is>
      </c>
      <c r="I32" s="8" t="n">
        <v>85</v>
      </c>
      <c r="J32" s="8" t="n">
        <v>75.44946516625131</v>
      </c>
      <c r="K32" s="8" t="n">
        <v>70</v>
      </c>
      <c r="L32" s="8" t="n">
        <v>100</v>
      </c>
      <c r="M32" s="8" t="inlineStr">
        <is>
          <t>Monitor - cyclical commodity, capacity expansion approved</t>
        </is>
      </c>
      <c r="N32" s="8" t="inlineStr">
        <is>
          <t>None</t>
        </is>
      </c>
      <c r="O32" s="8" t="inlineStr">
        <is>
          <t>Metals &amp; Mining (iron ore)</t>
        </is>
      </c>
      <c r="P32" s="8" t="n">
        <v>15.6</v>
      </c>
      <c r="Q32" s="8" t="n">
        <v>0.31</v>
      </c>
      <c r="R32" s="8" t="n">
        <v>0.3</v>
      </c>
      <c r="S32" s="8" t="n">
        <v>10.7077203388709</v>
      </c>
      <c r="T32" s="8" t="n">
        <v>20.08202361619553</v>
      </c>
      <c r="U32" s="8" t="n">
        <v>25.16182903386931</v>
      </c>
      <c r="V32" s="8" t="n">
        <v>0.5</v>
      </c>
      <c r="W32" s="8" t="n">
        <v>9.248046492586804</v>
      </c>
      <c r="X32" s="8" t="n">
        <v>89</v>
      </c>
      <c r="Y32" s="8" t="n">
        <v>50</v>
      </c>
      <c r="Z32" s="8" t="n"/>
      <c r="AA32" s="8" t="n"/>
      <c r="AB32" s="8" t="n"/>
      <c r="AC32" s="8" t="n"/>
      <c r="AD32" s="8" t="n"/>
      <c r="AE32" s="8" t="inlineStr">
        <is>
          <t>Not started</t>
        </is>
      </c>
      <c r="AF32" s="8" t="inlineStr">
        <is>
          <t>Jul-2026</t>
        </is>
      </c>
      <c r="AG32" s="8" t="inlineStr">
        <is>
          <t>Oct-2026</t>
        </is>
      </c>
      <c r="AH32" s="9" t="n">
        <v>221.6136407370153</v>
      </c>
      <c r="AI32" s="10" t="n">
        <v>220</v>
      </c>
      <c r="AJ32" s="9" t="n">
        <v>277.0170509212691</v>
      </c>
      <c r="AK32" s="11" t="n">
        <v>27.83476708918673</v>
      </c>
      <c r="AL32" s="15" t="n">
        <v>7.510746461126638</v>
      </c>
      <c r="AM32" s="12" t="n">
        <v>75107.46461126639</v>
      </c>
      <c r="AN32" s="8" t="inlineStr">
        <is>
          <t>ML Screen</t>
        </is>
      </c>
      <c r="AO32" s="8" t="inlineStr">
        <is>
          <t>Watch</t>
        </is>
      </c>
      <c r="AP32" s="8" t="inlineStr">
        <is>
          <t>Early</t>
        </is>
      </c>
      <c r="AQ32" s="8" t="inlineStr">
        <is>
          <t>See structured fields (Thesis / Risks / Valuation / Trigger / Sources) for detail.</t>
        </is>
      </c>
      <c r="AR32" s="8" t="inlineStr">
        <is>
          <t>N/A - excluded on cyclicality principle.</t>
        </is>
      </c>
      <c r="AS32" s="8" t="inlineStr">
        <is>
          <t>ML Alpha screen only, unverified against primary source; commodity-price-driven earnings.</t>
        </is>
      </c>
      <c r="AT32" s="8" t="inlineStr">
        <is>
          <t>Not independently verified.</t>
        </is>
      </c>
      <c r="AU32" s="8" t="inlineStr">
        <is>
          <t>N/A - excluded, doesn't fit quality-compounder bucket regardless of screen score.</t>
        </is>
      </c>
      <c r="AV32" s="8" t="inlineStr">
        <is>
          <t>ML Alpha screen only (unverified).</t>
        </is>
      </c>
      <c r="AW32" s="13" t="n">
        <v>13.50000013506078</v>
      </c>
      <c r="AX32" s="13" t="n">
        <v>10</v>
      </c>
      <c r="AY32" s="23" t="n">
        <v>20.51978154972364</v>
      </c>
      <c r="AZ32" s="23" t="n">
        <v>0.2</v>
      </c>
      <c r="BA32" s="23" t="n"/>
      <c r="BB32" s="23" t="n">
        <v>14.808148</v>
      </c>
      <c r="BC32" s="23" t="n"/>
      <c r="BD32" s="23" t="n">
        <v>100</v>
      </c>
      <c r="BE32" s="23" t="n">
        <v>30.56343067903443</v>
      </c>
      <c r="BF32" s="23" t="n">
        <v>100</v>
      </c>
      <c r="BG32" s="23" t="n"/>
      <c r="BH32" s="23" t="inlineStr">
        <is>
          <t>OK</t>
        </is>
      </c>
      <c r="BI32" s="23" t="inlineStr">
        <is>
          <t>Buy</t>
        </is>
      </c>
      <c r="BM32" t="inlineStr">
        <is>
          <t>Undervalued</t>
        </is>
      </c>
    </row>
    <row r="33" ht="15" customHeight="1">
      <c r="A33" s="8" t="n">
        <v>32</v>
      </c>
      <c r="B33" s="8" t="inlineStr">
        <is>
          <t>NMDC</t>
        </is>
      </c>
      <c r="C33" s="8" t="inlineStr">
        <is>
          <t>NMDC.NS</t>
        </is>
      </c>
      <c r="D33" s="8" t="inlineStr">
        <is>
          <t>Materials</t>
        </is>
      </c>
      <c r="E33" s="8" t="inlineStr">
        <is>
          <t>Iron Ore Mining (PSU)</t>
        </is>
      </c>
      <c r="F33" s="8" t="n">
        <v>736226770944</v>
      </c>
      <c r="G33" s="8" t="inlineStr">
        <is>
          <t>ML Screen</t>
        </is>
      </c>
      <c r="H33" s="8" t="inlineStr">
        <is>
          <t>Fail</t>
        </is>
      </c>
      <c r="I33" s="8" t="n">
        <v>79.5</v>
      </c>
      <c r="J33" s="8" t="n">
        <v>48.88575545317579</v>
      </c>
      <c r="K33" s="8" t="n">
        <v>75</v>
      </c>
      <c r="L33" s="8" t="n">
        <v>100</v>
      </c>
      <c r="M33" s="8" t="inlineStr">
        <is>
          <t>Monitor - PSU miner, iron ore price sensitive</t>
        </is>
      </c>
      <c r="N33" s="8" t="inlineStr">
        <is>
          <t>None</t>
        </is>
      </c>
      <c r="O33" s="8" t="inlineStr">
        <is>
          <t>Iron ore mining, PSU</t>
        </is>
      </c>
      <c r="P33" s="8" t="n">
        <v>10.2</v>
      </c>
      <c r="Q33" s="8" t="n">
        <v>0.29</v>
      </c>
      <c r="R33" s="8" t="n">
        <v>0.28</v>
      </c>
      <c r="S33" s="8" t="n">
        <v>9.097340912335037</v>
      </c>
      <c r="T33" s="8" t="n">
        <v>21.86417857536935</v>
      </c>
      <c r="U33" s="8" t="n">
        <v>24.25104468948705</v>
      </c>
      <c r="V33" s="8" t="n">
        <v>0.13</v>
      </c>
      <c r="W33" s="8" t="n">
        <v>2.284857393098362</v>
      </c>
      <c r="X33" s="8" t="n">
        <v>60.7</v>
      </c>
      <c r="Y33" s="8" t="n">
        <v>35</v>
      </c>
      <c r="Z33" s="8" t="n"/>
      <c r="AA33" s="8" t="n"/>
      <c r="AB33" s="8" t="n"/>
      <c r="AC33" s="8" t="n"/>
      <c r="AD33" s="8" t="n"/>
      <c r="AE33" s="8" t="inlineStr">
        <is>
          <t>Not started</t>
        </is>
      </c>
      <c r="AF33" s="8" t="inlineStr">
        <is>
          <t>Jul-2026</t>
        </is>
      </c>
      <c r="AG33" s="8" t="inlineStr">
        <is>
          <t>Oct-2026</t>
        </is>
      </c>
      <c r="AH33" s="9" t="n">
        <v>53.90839838710311</v>
      </c>
      <c r="AI33" s="10" t="n">
        <v>88</v>
      </c>
      <c r="AJ33" s="9" t="n">
        <v>67.38549798387888</v>
      </c>
      <c r="AK33" s="11" t="n">
        <v>-24.27006181661479</v>
      </c>
      <c r="AL33" s="15" t="n">
        <v>4.866416401499921</v>
      </c>
      <c r="AM33" s="12" t="n">
        <v>48664.16401499922</v>
      </c>
      <c r="AN33" s="8" t="inlineStr">
        <is>
          <t>ML Screen</t>
        </is>
      </c>
      <c r="AO33" s="8" t="inlineStr">
        <is>
          <t>Watch</t>
        </is>
      </c>
      <c r="AP33" s="8" t="inlineStr">
        <is>
          <t>Early</t>
        </is>
      </c>
      <c r="AQ33" s="8" t="inlineStr">
        <is>
          <t>See structured fields (Thesis / Risks / Valuation / Trigger / Sources) for detail.</t>
        </is>
      </c>
      <c r="AR33" s="8" t="inlineStr">
        <is>
          <t>N/A - excluded on cyclicality principle.</t>
        </is>
      </c>
      <c r="AS33" s="8" t="inlineStr">
        <is>
          <t>Cyclical commodity business, earnings swing with iron ore prices.</t>
        </is>
      </c>
      <c r="AT33" s="8" t="inlineStr">
        <is>
          <t>P/E 10.2; ROE 23.4% (ML Alpha screen, statistically attractive but not IOS-fit).</t>
        </is>
      </c>
      <c r="AU33" s="8" t="inlineStr">
        <is>
          <t>N/A - excluded early in session.</t>
        </is>
      </c>
      <c r="AV33" s="8" t="inlineStr">
        <is>
          <t>ML Alpha screen (unverified vs primary).</t>
        </is>
      </c>
      <c r="AW33" s="13" t="n">
        <v>8.470000349526874</v>
      </c>
      <c r="AX33" s="13" t="n">
        <v>13.7094084</v>
      </c>
      <c r="AY33" s="23" t="n">
        <v>7.955784885936112</v>
      </c>
      <c r="AZ33" s="23" t="n">
        <v>4.15</v>
      </c>
      <c r="BA33" s="23" t="n"/>
      <c r="BB33" s="23" t="n">
        <v>9.886659</v>
      </c>
      <c r="BC33" s="23" t="n"/>
      <c r="BD33" s="23" t="n">
        <v>100</v>
      </c>
      <c r="BE33" s="23" t="n">
        <v>18.80157601027353</v>
      </c>
      <c r="BF33" s="23" t="n">
        <v>100</v>
      </c>
      <c r="BG33" s="23" t="n"/>
      <c r="BH33" s="23" t="inlineStr">
        <is>
          <t>OK</t>
        </is>
      </c>
      <c r="BI33" s="23" t="inlineStr">
        <is>
          <t>Watch (Quality, Pricey)</t>
        </is>
      </c>
      <c r="BM33" t="inlineStr">
        <is>
          <t>Overvalued</t>
        </is>
      </c>
    </row>
    <row r="34" ht="15" customHeight="1">
      <c r="A34" s="8" t="n">
        <v>33</v>
      </c>
      <c r="B34" s="8" t="inlineStr">
        <is>
          <t>Ashapura Minechem</t>
        </is>
      </c>
      <c r="C34" s="8" t="inlineStr">
        <is>
          <t>ASHAPURMIN.NS</t>
        </is>
      </c>
      <c r="D34" s="8" t="inlineStr">
        <is>
          <t>Materials</t>
        </is>
      </c>
      <c r="E34" s="8" t="inlineStr">
        <is>
          <t>Mining &amp; Mineral Processing (Bauxite/Bentonite)</t>
        </is>
      </c>
      <c r="F34" s="8" t="n">
        <v>59928293376</v>
      </c>
      <c r="G34" s="8" t="inlineStr">
        <is>
          <t>ML Screen</t>
        </is>
      </c>
      <c r="H34" s="8" t="inlineStr">
        <is>
          <t>Fail</t>
        </is>
      </c>
      <c r="I34" s="8" t="n">
        <v>40</v>
      </c>
      <c r="J34" s="8" t="n">
        <v>2.445115908634934</v>
      </c>
      <c r="K34" s="8" t="n">
        <v>65</v>
      </c>
      <c r="L34" s="8" t="n">
        <v>100</v>
      </c>
      <c r="M34" s="8" t="inlineStr">
        <is>
          <t>Monitor - FY26 revenue nearly doubled, net debt declining</t>
        </is>
      </c>
      <c r="N34" s="8" t="inlineStr">
        <is>
          <t>None</t>
        </is>
      </c>
      <c r="O34" s="8" t="inlineStr">
        <is>
          <t>Metals &amp; Mining (bentonite/bauxite)</t>
        </is>
      </c>
      <c r="P34" s="8" t="n">
        <v>15.6</v>
      </c>
      <c r="Q34" s="8" t="n">
        <v>0.39</v>
      </c>
      <c r="R34" s="8" t="n">
        <v>0.38</v>
      </c>
      <c r="S34" s="8" t="n">
        <v>16.85769966740892</v>
      </c>
      <c r="T34" s="8" t="n">
        <v>24.40495370342224</v>
      </c>
      <c r="U34" s="8" t="n">
        <v>15.09902318111746</v>
      </c>
      <c r="V34" s="8" t="n">
        <v>0.6899999999999999</v>
      </c>
      <c r="W34" s="8" t="n">
        <v>2.578864848248612</v>
      </c>
      <c r="X34" s="8" t="n">
        <v>98</v>
      </c>
      <c r="Y34" s="8" t="n">
        <v>40</v>
      </c>
      <c r="Z34" s="8" t="n"/>
      <c r="AA34" s="8" t="n"/>
      <c r="AB34" s="8" t="n"/>
      <c r="AC34" s="8" t="n"/>
      <c r="AD34" s="8" t="n"/>
      <c r="AE34" s="8" t="inlineStr">
        <is>
          <t>Not started</t>
        </is>
      </c>
      <c r="AF34" s="8" t="inlineStr">
        <is>
          <t>Jul-2026</t>
        </is>
      </c>
      <c r="AG34" s="8" t="inlineStr">
        <is>
          <t>Oct-2026</t>
        </is>
      </c>
      <c r="AH34" s="9" t="n">
        <v>316.9243777898791</v>
      </c>
      <c r="AI34" s="10" t="n">
        <v>670</v>
      </c>
      <c r="AJ34" s="9" t="n">
        <v>396.1554722373489</v>
      </c>
      <c r="AK34" s="11" t="n">
        <v>-58.35954416000983</v>
      </c>
      <c r="AL34" s="15" t="n">
        <v>0.2434032582916017</v>
      </c>
      <c r="AM34" s="12" t="n">
        <v>2434.032582916017</v>
      </c>
      <c r="AN34" s="8" t="inlineStr">
        <is>
          <t>ML Screen</t>
        </is>
      </c>
      <c r="AO34" s="8" t="inlineStr">
        <is>
          <t>Watch</t>
        </is>
      </c>
      <c r="AP34" s="8" t="inlineStr">
        <is>
          <t>Early</t>
        </is>
      </c>
      <c r="AQ34" s="8" t="inlineStr">
        <is>
          <t>See structured fields (Thesis / Risks / Valuation / Trigger / Sources) for detail.</t>
        </is>
      </c>
      <c r="AR34" s="8" t="inlineStr">
        <is>
          <t>N/A - excluded on cyclicality principle.</t>
        </is>
      </c>
      <c r="AS34" s="8" t="inlineStr">
        <is>
          <t>ML Alpha screen only, unverified against primary source.</t>
        </is>
      </c>
      <c r="AT34" s="8" t="inlineStr">
        <is>
          <t>Not independently verified.</t>
        </is>
      </c>
      <c r="AU34" s="8" t="inlineStr">
        <is>
          <t>N/A - excluded, same cyclicality principle as NMDC/SANDUMA.</t>
        </is>
      </c>
      <c r="AV34" s="8" t="inlineStr">
        <is>
          <t>ML Alpha screen only (unverified).</t>
        </is>
      </c>
      <c r="AW34" s="13" t="n">
        <v>42.04999965145453</v>
      </c>
      <c r="AX34" s="13" t="n">
        <v>10</v>
      </c>
      <c r="AY34" s="23" t="n">
        <v>9.421057603741948</v>
      </c>
      <c r="AZ34" s="23" t="n">
        <v>0.16</v>
      </c>
      <c r="BA34" s="23" t="n"/>
      <c r="BB34" s="23" t="n">
        <v>14.919144</v>
      </c>
      <c r="BC34" s="23" t="n"/>
      <c r="BD34" s="23" t="n">
        <v>100</v>
      </c>
      <c r="BE34" s="23" t="n">
        <v>87.77442045682533</v>
      </c>
      <c r="BF34" s="23" t="n">
        <v>100</v>
      </c>
      <c r="BG34" s="23" t="n"/>
      <c r="BH34" s="23" t="inlineStr">
        <is>
          <t>OK</t>
        </is>
      </c>
      <c r="BI34" s="23" t="inlineStr">
        <is>
          <t>Avoid</t>
        </is>
      </c>
      <c r="BM34" t="inlineStr">
        <is>
          <t>Extremely Overvalued</t>
        </is>
      </c>
    </row>
    <row r="35" ht="15" customHeight="1">
      <c r="A35" s="8" t="n">
        <v>34</v>
      </c>
      <c r="B35" s="8" t="inlineStr">
        <is>
          <t>BLS International Services</t>
        </is>
      </c>
      <c r="C35" s="8" t="inlineStr">
        <is>
          <t>BLS.NS</t>
        </is>
      </c>
      <c r="D35" s="8" t="inlineStr">
        <is>
          <t>Consumer Discretionary</t>
        </is>
      </c>
      <c r="E35" s="8" t="inlineStr">
        <is>
          <t>Visa/Consular/IT-enabled Government Services</t>
        </is>
      </c>
      <c r="F35" s="8" t="n">
        <v>99876446208</v>
      </c>
      <c r="G35" s="8" t="inlineStr">
        <is>
          <t>ML Screen</t>
        </is>
      </c>
      <c r="H35" s="8" t="inlineStr">
        <is>
          <t>Conflict</t>
        </is>
      </c>
      <c r="I35" s="15" t="n">
        <v>89.5</v>
      </c>
      <c r="J35" s="15" t="n">
        <v>82.76106567344024</v>
      </c>
      <c r="K35" s="8" t="n">
        <v>75</v>
      </c>
      <c r="L35" s="8" t="n">
        <v>100</v>
      </c>
      <c r="M35" s="8" t="inlineStr">
        <is>
          <t>Active - confirm FY27 govt contract renewal terms</t>
        </is>
      </c>
      <c r="N35" s="8" t="inlineStr">
        <is>
          <t>None</t>
        </is>
      </c>
      <c r="O35" s="8" t="inlineStr">
        <is>
          <t>Visa/govt-outsourcing services</t>
        </is>
      </c>
      <c r="P35" s="8" t="n">
        <v>15.3</v>
      </c>
      <c r="Q35" s="8" t="n">
        <v>0.44</v>
      </c>
      <c r="R35" s="8" t="n">
        <v>0.42</v>
      </c>
      <c r="S35" s="8" t="n">
        <v>14.12565913611148</v>
      </c>
      <c r="T35" s="8" t="n">
        <v>24.66884209645236</v>
      </c>
      <c r="U35" s="8" t="n">
        <v>23.07870369044416</v>
      </c>
      <c r="V35" s="8" t="n">
        <v>0.1</v>
      </c>
      <c r="W35" s="8" t="n">
        <v>7.475829585599151</v>
      </c>
      <c r="X35" s="8" t="n">
        <v>36.7</v>
      </c>
      <c r="Y35" s="8" t="n">
        <v>35.1</v>
      </c>
      <c r="Z35" s="8" t="n"/>
      <c r="AA35" s="8" t="n"/>
      <c r="AB35" s="8" t="n"/>
      <c r="AC35" s="8" t="n"/>
      <c r="AD35" s="8" t="n"/>
      <c r="AE35" s="8" t="inlineStr">
        <is>
          <t>Not started</t>
        </is>
      </c>
      <c r="AF35" s="8" t="inlineStr">
        <is>
          <t>Jul-2026</t>
        </is>
      </c>
      <c r="AG35" s="8" t="inlineStr">
        <is>
          <t>Oct-2026</t>
        </is>
      </c>
      <c r="AH35" s="9" t="n">
        <v>214.2833066653625</v>
      </c>
      <c r="AI35" s="10" t="n">
        <v>262</v>
      </c>
      <c r="AJ35" s="9" t="n">
        <v>267.8541333317031</v>
      </c>
      <c r="AK35" s="11" t="n">
        <v>9.390981956792483</v>
      </c>
      <c r="AL35" s="15" t="n">
        <v>8.238592278370481</v>
      </c>
      <c r="AM35" s="12" t="n">
        <v>82385.92278370481</v>
      </c>
      <c r="AN35" s="8" t="inlineStr">
        <is>
          <t>ML Screen (Active)</t>
        </is>
      </c>
      <c r="AO35" s="8" t="inlineStr">
        <is>
          <t>Watch</t>
        </is>
      </c>
      <c r="AP35" s="8" t="inlineStr">
        <is>
          <t>Early</t>
        </is>
      </c>
      <c r="AQ35" s="8" t="inlineStr">
        <is>
          <t>See structured fields (Thesis / Risks / Valuation / Trigger / Sources) for detail.</t>
        </is>
      </c>
      <c r="AR35" s="8" t="inlineStr">
        <is>
          <t>Visa/consular outsourcing services provider.</t>
        </is>
      </c>
      <c r="AS35" s="8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T35" s="8" t="inlineStr">
        <is>
          <t>ML screen: P/E 15.3, ROE 32.7%, F-Score 8 (looks clean on screen).</t>
        </is>
      </c>
      <c r="AU35" s="8" t="inlineStr">
        <is>
          <t>FY27 contract renewals confirmed and valuation reset before promotion.</t>
        </is>
      </c>
      <c r="AV35" s="8" t="inlineStr">
        <is>
          <t>ML screen + deeper session research (conflicting).</t>
        </is>
      </c>
      <c r="AW35" s="13" t="n">
        <v>16.64999951634735</v>
      </c>
      <c r="AX35" s="13" t="n">
        <v>10</v>
      </c>
      <c r="AY35" s="23" t="n">
        <v>16.08733533523743</v>
      </c>
      <c r="AZ35" s="23" t="n">
        <v>1.21</v>
      </c>
      <c r="BA35" s="23" t="n"/>
      <c r="BB35" s="23" t="n">
        <v>14.576577</v>
      </c>
      <c r="BC35" s="23" t="n"/>
      <c r="BD35" s="23" t="n">
        <v>100</v>
      </c>
      <c r="BE35" s="23" t="n">
        <v>15.46792725919377</v>
      </c>
      <c r="BF35" s="23" t="n">
        <v>100</v>
      </c>
      <c r="BG35" s="23" t="n"/>
      <c r="BH35" s="23" t="inlineStr">
        <is>
          <t>OK</t>
        </is>
      </c>
      <c r="BI35" s="23" t="inlineStr">
        <is>
          <t>Strong Buy</t>
        </is>
      </c>
      <c r="BM35" t="inlineStr">
        <is>
          <t>Fair Value</t>
        </is>
      </c>
    </row>
    <row r="36" ht="15" customHeight="1">
      <c r="A36" s="8" t="n">
        <v>35</v>
      </c>
      <c r="B36" s="8" t="inlineStr">
        <is>
          <t>eClerx Services</t>
        </is>
      </c>
      <c r="C36" s="8" t="inlineStr">
        <is>
          <t>ECLERX.NS</t>
        </is>
      </c>
      <c r="D36" s="8" t="inlineStr">
        <is>
          <t>Information Technology</t>
        </is>
      </c>
      <c r="E36" s="8" t="inlineStr">
        <is>
          <t>Outsourced Services/BPO/Analytics</t>
        </is>
      </c>
      <c r="F36" s="8" t="n">
        <v>135948935168</v>
      </c>
      <c r="G36" s="8" t="inlineStr">
        <is>
          <t>ML Screen</t>
        </is>
      </c>
      <c r="H36" s="8" t="inlineStr">
        <is>
          <t>Conflict</t>
        </is>
      </c>
      <c r="I36" s="8" t="n">
        <v>89.5</v>
      </c>
      <c r="J36" s="8" t="n">
        <v>56.15759451643354</v>
      </c>
      <c r="K36" s="8" t="n">
        <v>70</v>
      </c>
      <c r="L36" s="8" t="n">
        <v>100</v>
      </c>
      <c r="M36" s="8" t="inlineStr">
        <is>
          <t>Monitor - ROCE-decline explanation, profit-quality check needed</t>
        </is>
      </c>
      <c r="N36" s="8" t="inlineStr">
        <is>
          <t>None</t>
        </is>
      </c>
      <c r="O36" s="8" t="inlineStr">
        <is>
          <t>BPM/analytics, IT-adjacent services</t>
        </is>
      </c>
      <c r="P36" s="8" t="n">
        <v>19.4</v>
      </c>
      <c r="Q36" s="8" t="n">
        <v>0.79</v>
      </c>
      <c r="R36" s="8" t="n">
        <v>0.75</v>
      </c>
      <c r="S36" s="8" t="n">
        <v>15.16525565909807</v>
      </c>
      <c r="T36" s="8" t="n">
        <v>27.54079577698776</v>
      </c>
      <c r="U36" s="8" t="n">
        <v>29.29785879991533</v>
      </c>
      <c r="V36" s="8" t="n">
        <v>0.13</v>
      </c>
      <c r="W36" s="8" t="n">
        <v>5.677771639210095</v>
      </c>
      <c r="X36" s="8" t="n">
        <v>23</v>
      </c>
      <c r="Y36" s="8" t="n">
        <v>24.5</v>
      </c>
      <c r="Z36" s="8" t="n"/>
      <c r="AA36" s="8" t="n"/>
      <c r="AB36" s="8" t="n"/>
      <c r="AC36" s="8" t="n"/>
      <c r="AD36" s="8" t="n"/>
      <c r="AE36" s="8" t="inlineStr">
        <is>
          <t>Not started</t>
        </is>
      </c>
      <c r="AF36" s="8" t="inlineStr">
        <is>
          <t>Jul-2026</t>
        </is>
      </c>
      <c r="AG36" s="8" t="inlineStr">
        <is>
          <t>Oct-2026</t>
        </is>
      </c>
      <c r="AH36" s="9" t="n">
        <v>936.7003517980347</v>
      </c>
      <c r="AI36" s="10" t="n">
        <v>1400</v>
      </c>
      <c r="AJ36" s="9" t="n">
        <v>1170.875439747543</v>
      </c>
      <c r="AK36" s="11" t="n">
        <v>-26.17055152497911</v>
      </c>
      <c r="AL36" s="8" t="n">
        <v>5.590304097587604</v>
      </c>
      <c r="AM36" s="12" t="n">
        <v>55903.04097587605</v>
      </c>
      <c r="AN36" s="8" t="inlineStr">
        <is>
          <t>ML Screen</t>
        </is>
      </c>
      <c r="AO36" s="8" t="inlineStr">
        <is>
          <t>Watch</t>
        </is>
      </c>
      <c r="AP36" s="8" t="inlineStr">
        <is>
          <t>Early</t>
        </is>
      </c>
      <c r="AQ36" s="8" t="inlineStr">
        <is>
          <t>See structured fields (Thesis / Risks / Valuation / Trigger / Sources) for detail.</t>
        </is>
      </c>
      <c r="AR36" s="8" t="inlineStr">
        <is>
          <t>KPO/analytics services provider.</t>
        </is>
      </c>
      <c r="AS36" s="8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T36" s="8" t="inlineStr">
        <is>
          <t>ML screen: P/E 19.4, ROE 29%, F-Score 8.</t>
        </is>
      </c>
      <c r="AU36" s="8" t="inlineStr">
        <is>
          <t>Resolve ROCE-decline explanation; document IT-theme exception before promotion.</t>
        </is>
      </c>
      <c r="AV36" s="8" t="inlineStr">
        <is>
          <t>ML screen + Tijori (session review).</t>
        </is>
      </c>
      <c r="AW36" s="13" t="n">
        <v>74.47000049031294</v>
      </c>
      <c r="AX36" s="13" t="n">
        <v>10</v>
      </c>
      <c r="AY36" s="23" t="n">
        <v>15.72278017654819</v>
      </c>
      <c r="AZ36" s="23" t="n">
        <v>0.03</v>
      </c>
      <c r="BA36" s="23" t="n"/>
      <c r="BB36" s="23" t="n">
        <v>19.837519</v>
      </c>
      <c r="BC36" s="23" t="n"/>
      <c r="BD36" s="23" t="n">
        <v>100</v>
      </c>
      <c r="BE36" s="23" t="n">
        <v>15.01234675747474</v>
      </c>
      <c r="BF36" s="23" t="n">
        <v>100</v>
      </c>
      <c r="BG36" s="23" t="n"/>
      <c r="BH36" s="23" t="inlineStr">
        <is>
          <t>OK</t>
        </is>
      </c>
      <c r="BI36" s="23" t="inlineStr">
        <is>
          <t>Watch</t>
        </is>
      </c>
      <c r="BM36" t="inlineStr">
        <is>
          <t>Overvalued</t>
        </is>
      </c>
    </row>
    <row r="37" ht="15" customHeight="1">
      <c r="A37" s="8" t="n">
        <v>36</v>
      </c>
      <c r="B37" s="8" t="inlineStr">
        <is>
          <t>Sharda Cropchem</t>
        </is>
      </c>
      <c r="C37" s="8" t="inlineStr">
        <is>
          <t>SHARDACROP.NS</t>
        </is>
      </c>
      <c r="D37" s="8" t="inlineStr">
        <is>
          <t>Basic Materials</t>
        </is>
      </c>
      <c r="E37" s="8" t="inlineStr">
        <is>
          <t>Agrochemicals (registration/export model)</t>
        </is>
      </c>
      <c r="F37" s="8" t="n">
        <v>79754919936</v>
      </c>
      <c r="G37" s="8" t="inlineStr">
        <is>
          <t>Data Hold</t>
        </is>
      </c>
      <c r="H37" s="8" t="inlineStr">
        <is>
          <t>Fail</t>
        </is>
      </c>
      <c r="I37" s="8" t="n">
        <v>58</v>
      </c>
      <c r="J37" s="8" t="n">
        <v>37.32315651577998</v>
      </c>
      <c r="K37" s="8" t="n">
        <v>35</v>
      </c>
      <c r="L37" s="8" t="n">
        <v>100</v>
      </c>
      <c r="M37" s="8" t="inlineStr">
        <is>
          <t>Blocked - reconcile FY26 revenue/PAT vs BSE filing and ROE-basis conflict before proceeding</t>
        </is>
      </c>
      <c r="N37" s="8" t="inlineStr">
        <is>
          <t>None</t>
        </is>
      </c>
      <c r="O37" s="8" t="inlineStr">
        <is>
          <t>Asset-light agrochemical registration/distribution platform, not a manufacturer</t>
        </is>
      </c>
      <c r="P37" s="8" t="n">
        <v>12</v>
      </c>
      <c r="Q37" s="8" t="n">
        <v>0.21</v>
      </c>
      <c r="R37" s="8" t="n">
        <v>0.21</v>
      </c>
      <c r="S37" s="8" t="n">
        <v>10.84749587929916</v>
      </c>
      <c r="T37" s="8" t="n">
        <v>21.70396084430917</v>
      </c>
      <c r="U37" s="8" t="n">
        <v>21.0666410064932</v>
      </c>
      <c r="V37" s="8" t="n">
        <v>0.1</v>
      </c>
      <c r="W37" s="8" t="n">
        <v>2.042240964966754</v>
      </c>
      <c r="X37" s="8" t="n">
        <v>13</v>
      </c>
      <c r="Y37" s="8" t="n">
        <v>57</v>
      </c>
      <c r="Z37" s="8" t="n"/>
      <c r="AA37" s="8" t="n"/>
      <c r="AB37" s="8" t="n"/>
      <c r="AC37" s="8" t="n"/>
      <c r="AD37" s="8" t="n"/>
      <c r="AE37" s="8" t="inlineStr">
        <is>
          <t>Not started</t>
        </is>
      </c>
      <c r="AF37" s="8" t="inlineStr">
        <is>
          <t>Jul-2026</t>
        </is>
      </c>
      <c r="AG37" s="8" t="inlineStr">
        <is>
          <t>Before further work</t>
        </is>
      </c>
      <c r="AH37" s="9" t="n">
        <v>521.3427252991762</v>
      </c>
      <c r="AI37" s="10" t="n">
        <v>885</v>
      </c>
      <c r="AJ37" s="9" t="n">
        <v>651.6784066239702</v>
      </c>
      <c r="AK37" s="11" t="n">
        <v>-35.64973014520695</v>
      </c>
      <c r="AL37" s="8" t="n">
        <v>3.715397651942003</v>
      </c>
      <c r="AM37" s="12" t="n">
        <v>37153.97651942003</v>
      </c>
      <c r="AN37" s="8" t="inlineStr">
        <is>
          <t>Data Hold</t>
        </is>
      </c>
      <c r="AO37" s="8" t="inlineStr">
        <is>
          <t>FY26 Reconciliation</t>
        </is>
      </c>
      <c r="AP37" s="8" t="inlineStr">
        <is>
          <t>Unresolved</t>
        </is>
      </c>
      <c r="AQ37" s="8" t="inlineStr">
        <is>
          <t>See structured fields (Thesis / Risks / Valuation / Trigger / Sources) for detail.</t>
        </is>
      </c>
      <c r="AR37" s="8" t="inlineStr">
        <is>
          <t>Agrochemical (generic crop-protection) exporter.</t>
        </is>
      </c>
      <c r="AS37" s="8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T37" s="8" t="inlineStr">
        <is>
          <t>Not usable until conflicts resolved.</t>
        </is>
      </c>
      <c r="AU37" s="8" t="inlineStr">
        <is>
          <t>Confirm FY26 revenue/profit directly against Sharda's BSE filing before any scoring.</t>
        </is>
      </c>
      <c r="AV37" s="8" t="inlineStr">
        <is>
          <t>Screener vs ML screen (conflicting); Data Confidence gate not passed.</t>
        </is>
      </c>
      <c r="AW37" s="13" t="n">
        <v>75.49000184455208</v>
      </c>
      <c r="AX37" s="13" t="n">
        <v>20.316037</v>
      </c>
      <c r="AY37" s="23" t="n">
        <v>8.63264547124083</v>
      </c>
      <c r="AZ37" s="23" t="n">
        <v>1.97</v>
      </c>
      <c r="BA37" s="23" t="n"/>
      <c r="BB37" s="23" t="n">
        <v>11.71016</v>
      </c>
      <c r="BC37" s="23" t="n"/>
      <c r="BD37" s="23" t="n">
        <v>100</v>
      </c>
      <c r="BE37" s="23" t="n">
        <v>0</v>
      </c>
      <c r="BF37" s="23" t="n">
        <v>100</v>
      </c>
      <c r="BG37" s="23" t="n"/>
      <c r="BH37" s="23" t="inlineStr">
        <is>
          <t>OK</t>
        </is>
      </c>
      <c r="BI37" s="23" t="inlineStr">
        <is>
          <t>Hold</t>
        </is>
      </c>
      <c r="BM37" t="inlineStr">
        <is>
          <t>Overvalued</t>
        </is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topLeftCell="U1" zoomScaleNormal="100" workbookViewId="0">
      <pane ySplit="1" topLeftCell="A14" activePane="bottomLeft" state="frozen"/>
      <selection activeCell="U1" sqref="U1"/>
      <selection pane="bottomLeft" activeCell="X4" sqref="X4"/>
    </sheetView>
  </sheetViews>
  <sheetFormatPr baseColWidth="8" defaultColWidth="8.7109375" defaultRowHeight="15"/>
  <cols>
    <col width="15" customWidth="1" min="1" max="3"/>
    <col width="19" customWidth="1" min="4" max="4"/>
    <col width="15" customWidth="1" min="5" max="5"/>
    <col width="18" customWidth="1" min="6" max="6"/>
    <col width="15" customWidth="1" min="7" max="9"/>
    <col width="22" customWidth="1" min="10" max="10"/>
    <col width="17" customWidth="1" min="11" max="11"/>
    <col width="15" customWidth="1" min="12" max="16"/>
    <col width="20" customWidth="1" min="17" max="17"/>
    <col width="16" customWidth="1" min="18" max="18"/>
    <col width="15" customWidth="1" min="19" max="23"/>
    <col width="19" customWidth="1" min="24" max="24"/>
    <col width="32.7109375" customWidth="1" min="25" max="25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Revenue Growth %</t>
        </is>
      </c>
      <c r="E1" s="1" t="inlineStr">
        <is>
          <t>EBITDA</t>
        </is>
      </c>
      <c r="F1" s="1" t="inlineStr">
        <is>
          <t>EBITDA Margin %</t>
        </is>
      </c>
      <c r="G1" s="1" t="inlineStr">
        <is>
          <t>Net Profit</t>
        </is>
      </c>
      <c r="H1" s="1" t="inlineStr">
        <is>
          <t>EPS</t>
        </is>
      </c>
      <c r="I1" s="1" t="inlineStr">
        <is>
          <t>EPS Growth %</t>
        </is>
      </c>
      <c r="J1" s="1" t="inlineStr">
        <is>
          <t>Operating Cash Flow</t>
        </is>
      </c>
      <c r="K1" s="1" t="inlineStr">
        <is>
          <t>Free Cash Flow</t>
        </is>
      </c>
      <c r="L1" s="1" t="inlineStr">
        <is>
          <t>FCF Yield %</t>
        </is>
      </c>
      <c r="M1" s="1" t="inlineStr">
        <is>
          <t>ROE %</t>
        </is>
      </c>
      <c r="N1" s="1" t="inlineStr">
        <is>
          <t>ROCE %</t>
        </is>
      </c>
      <c r="O1" s="1" t="inlineStr">
        <is>
          <t>ROA %</t>
        </is>
      </c>
      <c r="P1" s="1" t="inlineStr">
        <is>
          <t>Debt/Equity</t>
        </is>
      </c>
      <c r="Q1" s="1" t="inlineStr">
        <is>
          <t>Interest Coverage</t>
        </is>
      </c>
      <c r="R1" s="1" t="inlineStr">
        <is>
          <t>Current Ratio</t>
        </is>
      </c>
      <c r="S1" s="1" t="inlineStr">
        <is>
          <t>P/E</t>
        </is>
      </c>
      <c r="T1" s="1" t="inlineStr">
        <is>
          <t>PEG</t>
        </is>
      </c>
      <c r="U1" s="1" t="inlineStr">
        <is>
          <t>PEGY</t>
        </is>
      </c>
      <c r="V1" s="1" t="inlineStr">
        <is>
          <t>EV/EBIT</t>
        </is>
      </c>
      <c r="W1" s="1" t="inlineStr">
        <is>
          <t>P/B</t>
        </is>
      </c>
      <c r="X1" s="1" t="inlineStr">
        <is>
          <t>Dividend Yield %</t>
        </is>
      </c>
      <c r="Y1" s="1" t="inlineStr">
        <is>
          <t>Notes</t>
        </is>
      </c>
    </row>
    <row r="2" ht="15" customHeight="1">
      <c r="A2" t="inlineStr">
        <is>
          <t>Lupin</t>
        </is>
      </c>
      <c r="B2" t="inlineStr">
        <is>
          <t>FY26</t>
        </is>
      </c>
      <c r="D2" t="n">
        <v>23</v>
      </c>
      <c r="M2" t="n">
        <v>29.1</v>
      </c>
      <c r="N2" t="n">
        <v>28.4</v>
      </c>
      <c r="X2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Y2" t="inlineStr">
        <is>
          <t>Populate from annual report</t>
        </is>
      </c>
    </row>
    <row r="3" ht="15" customHeight="1">
      <c r="A3" t="inlineStr">
        <is>
          <t>Cummins India</t>
        </is>
      </c>
      <c r="B3" t="inlineStr">
        <is>
          <t>FY26 TTM</t>
        </is>
      </c>
      <c r="C3" t="n">
        <v>11602</v>
      </c>
      <c r="D3" t="n">
        <v>13</v>
      </c>
      <c r="G3" t="n">
        <v>2242</v>
      </c>
      <c r="M3" t="n">
        <v>28.2</v>
      </c>
      <c r="N3" t="n">
        <v>36.3</v>
      </c>
      <c r="P3" t="n">
        <v>0.003</v>
      </c>
      <c r="S3" t="n">
        <v>64.3</v>
      </c>
      <c r="X3" t="n">
        <v>0.95</v>
      </c>
      <c r="Y3" t="inlineStr">
        <is>
          <t>Source: Screener.in consolidated, Jul-2026. TTM figures; FY26 annual not yet fully reported at fetch time.</t>
        </is>
      </c>
    </row>
    <row r="4" ht="15" customHeight="1">
      <c r="A4" t="inlineStr">
        <is>
          <t>State Bank of India</t>
        </is>
      </c>
      <c r="B4" t="inlineStr">
        <is>
          <t>FY26</t>
        </is>
      </c>
      <c r="G4" t="n">
        <v>80032</v>
      </c>
      <c r="M4" t="n">
        <v>18.57</v>
      </c>
      <c r="O4" t="n">
        <v>1.12</v>
      </c>
      <c r="S4" t="n">
        <v>11.6</v>
      </c>
      <c r="Y4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>
      <c r="A5" t="inlineStr">
        <is>
          <t>Tech Mahindra</t>
        </is>
      </c>
      <c r="B5" t="inlineStr">
        <is>
          <t>FY26 TTM</t>
        </is>
      </c>
      <c r="C5" t="n">
        <v>56815</v>
      </c>
      <c r="G5" t="n">
        <v>4806</v>
      </c>
      <c r="M5" t="n">
        <v>13.3</v>
      </c>
      <c r="S5" t="n">
        <v>25.3</v>
      </c>
      <c r="X5" t="n">
        <v>3.62</v>
      </c>
      <c r="Y5" t="inlineStr">
        <is>
          <t>Source: Screener.in consolidated, Jul-2026. 5yr sales growth only 8.46% (poor per screener). Payout ratio 112% exceeds EPS.</t>
        </is>
      </c>
    </row>
    <row r="6" ht="15" customHeight="1">
      <c r="A6" t="inlineStr">
        <is>
          <t>Larsen &amp; Toubro</t>
        </is>
      </c>
      <c r="B6" t="inlineStr">
        <is>
          <t>FY26 TTM</t>
        </is>
      </c>
      <c r="G6" t="n">
        <v>19147</v>
      </c>
      <c r="M6" t="n">
        <v>14.7</v>
      </c>
      <c r="N6" t="n">
        <v>17.85</v>
      </c>
      <c r="P6" t="n">
        <v>1.12</v>
      </c>
      <c r="S6" t="n">
        <v>33.8</v>
      </c>
      <c r="Y6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>
      <c r="A7" t="inlineStr">
        <is>
          <t>Tejas Networks</t>
        </is>
      </c>
      <c r="B7" t="inlineStr">
        <is>
          <t>FY26</t>
        </is>
      </c>
      <c r="C7" t="n">
        <v>1103</v>
      </c>
      <c r="D7" t="n">
        <v>-88</v>
      </c>
      <c r="G7" t="n">
        <v>-909</v>
      </c>
      <c r="M7" t="n">
        <v>-4.01</v>
      </c>
      <c r="N7" t="n">
        <v>-4.83</v>
      </c>
      <c r="Y7" t="inlineStr">
        <is>
          <t>Source: Screener.in, MarketsMojo, Jul-2026. Revenue collapsed 88-90% YoY in multiple FY26 quarters; net loss vs FY25 profit of Rs.446cr. Debt/EBITDA ~7.94x.</t>
        </is>
      </c>
    </row>
    <row r="8" ht="15" customHeight="1">
      <c r="A8" t="inlineStr">
        <is>
          <t>ACME Solar Holdings</t>
        </is>
      </c>
      <c r="B8" t="inlineStr">
        <is>
          <t>FY26</t>
        </is>
      </c>
      <c r="C8" t="n">
        <v>2022.96</v>
      </c>
      <c r="D8" t="n">
        <v>43.97</v>
      </c>
      <c r="G8" t="n">
        <v>498.92</v>
      </c>
      <c r="M8" t="n">
        <v>8.4</v>
      </c>
      <c r="N8" t="n">
        <v>8.4</v>
      </c>
      <c r="P8" t="n">
        <v>0.65</v>
      </c>
      <c r="S8" t="n">
        <v>26</v>
      </c>
      <c r="Y8" t="inlineStr">
        <is>
          <t>Source: Tickertape/MarketsMojo, Jul-2026. Interest coverage thin (~1.15x). ROE/ROCE well below IOS 20% threshold despite strong topline growth.</t>
        </is>
      </c>
    </row>
    <row r="9" ht="15" customHeight="1">
      <c r="A9" t="inlineStr">
        <is>
          <t>Atul Auto</t>
        </is>
      </c>
      <c r="B9" t="inlineStr">
        <is>
          <t>FY26 TTM</t>
        </is>
      </c>
      <c r="C9" t="n">
        <v>703</v>
      </c>
      <c r="M9" t="n">
        <v>5.72</v>
      </c>
      <c r="S9" t="n">
        <v>33</v>
      </c>
      <c r="Y9" t="inlineStr">
        <is>
          <t>Source: Screener.in/MoneyWorks4Me, Jul-2026. Revenue CAGR near-flat (0.65-2.86%). ROE well below IOS threshold.</t>
        </is>
      </c>
    </row>
    <row r="10" ht="15" customHeight="1">
      <c r="A10" t="inlineStr">
        <is>
          <t>Mahindra Holidays</t>
        </is>
      </c>
      <c r="B10" t="inlineStr">
        <is>
          <t>Q4 FY26</t>
        </is>
      </c>
      <c r="D10" t="n">
        <v>-43.1</v>
      </c>
      <c r="G10" t="n">
        <v>41.55</v>
      </c>
      <c r="S10" t="n">
        <v>62.7</v>
      </c>
      <c r="Y10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>
      <c r="A11" t="inlineStr">
        <is>
          <t>Power Finance Corporation</t>
        </is>
      </c>
      <c r="B11" t="inlineStr">
        <is>
          <t>FY26</t>
        </is>
      </c>
      <c r="C11" t="n">
        <v>115444</v>
      </c>
      <c r="G11" t="n">
        <v>33625</v>
      </c>
      <c r="M11" t="n">
        <v>19.49</v>
      </c>
      <c r="S11" t="n">
        <v>6.5</v>
      </c>
      <c r="X11" t="n">
        <v>5.16</v>
      </c>
      <c r="Y11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>
      <c r="A12" t="inlineStr">
        <is>
          <t>ITC</t>
        </is>
      </c>
      <c r="B12" t="inlineStr">
        <is>
          <t>FY26</t>
        </is>
      </c>
      <c r="C12" t="n">
        <v>78213.28</v>
      </c>
      <c r="G12" t="n">
        <v>20689.47</v>
      </c>
      <c r="M12" t="n">
        <v>35.2</v>
      </c>
      <c r="S12" t="n">
        <v>17.6</v>
      </c>
      <c r="X12" t="n">
        <v>5</v>
      </c>
      <c r="Y12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>
      <c r="A13" t="inlineStr">
        <is>
          <t>Eicher Motors</t>
        </is>
      </c>
      <c r="B13" t="inlineStr">
        <is>
          <t>FY26 TTM</t>
        </is>
      </c>
      <c r="C13" t="n">
        <v>23408</v>
      </c>
      <c r="G13" t="n">
        <v>5515</v>
      </c>
      <c r="M13" t="n">
        <v>24</v>
      </c>
      <c r="S13" t="n">
        <v>38</v>
      </c>
      <c r="X13" t="n">
        <v>0.99</v>
      </c>
      <c r="Y13" t="inlineStr">
        <is>
          <t>Source: Screener.in, Jul-2026. Near debt-free; revenue CAGR ~15.6% vs ~13.4% industry median. Valuation rich (P/B ~8-9.6x).</t>
        </is>
      </c>
    </row>
    <row r="14" ht="15" customHeight="1">
      <c r="A14" t="inlineStr">
        <is>
          <t>CreditAccess Grameen</t>
        </is>
      </c>
      <c r="B14" t="inlineStr">
        <is>
          <t>FY26</t>
        </is>
      </c>
      <c r="C14" t="n">
        <v>6062.5</v>
      </c>
      <c r="G14" t="n">
        <v>777.6</v>
      </c>
      <c r="M14" t="n">
        <v>10.7</v>
      </c>
      <c r="O14" t="n">
        <v>2.7</v>
      </c>
      <c r="S14" t="n">
        <v>41.9</v>
      </c>
      <c r="Y14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>
      <c r="A15" t="inlineStr">
        <is>
          <t>Punjab National Bank</t>
        </is>
      </c>
      <c r="B15" t="inlineStr">
        <is>
          <t>FY26</t>
        </is>
      </c>
      <c r="C15" t="n">
        <v>130772</v>
      </c>
      <c r="G15" t="n">
        <v>18467</v>
      </c>
      <c r="M15" t="n">
        <v>14.9</v>
      </c>
      <c r="O15" t="n">
        <v>0.9</v>
      </c>
      <c r="S15" t="n">
        <v>7.3</v>
      </c>
      <c r="Y15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1"/>
    <col width="16" customWidth="1" min="2" max="2"/>
    <col width="15" customWidth="1" min="3" max="3"/>
    <col width="20" customWidth="1" min="4" max="4"/>
    <col width="21" customWidth="1" min="5" max="5"/>
    <col width="22" customWidth="1" min="6" max="6"/>
    <col width="25" customWidth="1" min="7" max="7"/>
    <col width="15" customWidth="1" min="8" max="8"/>
    <col width="18" customWidth="1" min="9" max="9"/>
    <col width="15" customWidth="1" min="10" max="11"/>
    <col width="18" customWidth="1" min="12" max="12"/>
  </cols>
  <sheetData>
    <row r="1" ht="15" customHeight="1">
      <c r="A1" s="1" t="inlineStr">
        <is>
          <t>Company</t>
        </is>
      </c>
      <c r="B1" s="1" t="inlineStr">
        <is>
          <t>Decision Date</t>
        </is>
      </c>
      <c r="C1" s="1" t="inlineStr">
        <is>
          <t>Analyst</t>
        </is>
      </c>
      <c r="D1" s="1" t="inlineStr">
        <is>
          <t>Investment Thesis</t>
        </is>
      </c>
      <c r="E1" s="1" t="inlineStr">
        <is>
          <t>Variant Perception</t>
        </is>
      </c>
      <c r="F1" s="1" t="inlineStr">
        <is>
          <t>Supporting Evidence</t>
        </is>
      </c>
      <c r="G1" s="1" t="inlineStr">
        <is>
          <t>Disconfirming Evidence</t>
        </is>
      </c>
      <c r="H1" s="1" t="inlineStr">
        <is>
          <t>Key Risks</t>
        </is>
      </c>
      <c r="I1" s="1" t="inlineStr">
        <is>
          <t>Exit Conditions</t>
        </is>
      </c>
      <c r="J1" s="1" t="inlineStr">
        <is>
          <t>Review Date</t>
        </is>
      </c>
      <c r="K1" s="1" t="inlineStr">
        <is>
          <t>Outcome</t>
        </is>
      </c>
      <c r="L1" s="1" t="inlineStr">
        <is>
          <t>Lessons Learned</t>
        </is>
      </c>
    </row>
    <row r="2" ht="15" customHeight="1">
      <c r="A2" t="inlineStr">
        <is>
          <t>CAMS</t>
        </is>
      </c>
      <c r="B2" t="inlineStr">
        <is>
          <t>Jul-2026</t>
        </is>
      </c>
      <c r="C2" t="inlineStr">
        <is>
          <t>User</t>
        </is>
      </c>
      <c r="D2" t="inlineStr">
        <is>
          <t>Dominant RTA with strong cash generation</t>
        </is>
      </c>
      <c r="E2" t="inlineStr">
        <is>
          <t>Market underestimates durability</t>
        </is>
      </c>
      <c r="F2" t="inlineStr">
        <is>
          <t>High market share</t>
        </is>
      </c>
      <c r="G2" t="inlineStr">
        <is>
          <t>Loss of market share</t>
        </is>
      </c>
      <c r="H2" t="inlineStr">
        <is>
          <t>Regulation</t>
        </is>
      </c>
      <c r="I2" t="inlineStr">
        <is>
          <t>IOS score deterioration</t>
        </is>
      </c>
      <c r="J2" t="inlineStr">
        <is>
          <t>Oct-2026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zoomScaleNormal="100" workbookViewId="0">
      <pane ySplit="1" topLeftCell="A2" activePane="bottomLeft" state="frozen"/>
      <selection pane="bottomLeft" activeCell="A5" sqref="A5"/>
    </sheetView>
  </sheetViews>
  <sheetFormatPr baseColWidth="8" defaultColWidth="8.7109375" defaultRowHeight="15"/>
  <cols>
    <col width="15" customWidth="1" min="1" max="5"/>
    <col width="20" customWidth="1" min="6" max="6"/>
    <col width="16" customWidth="1" min="7" max="8"/>
    <col width="17" customWidth="1" min="9" max="9"/>
    <col width="15" customWidth="1" min="10" max="10"/>
    <col width="22" customWidth="1" min="11" max="12"/>
    <col width="21" customWidth="1" min="13" max="13"/>
    <col width="15" customWidth="1" min="14" max="14"/>
  </cols>
  <sheetData>
    <row r="1" ht="15" customHeight="1">
      <c r="A1" s="1" t="inlineStr">
        <is>
          <t>Company</t>
        </is>
      </c>
      <c r="B1" s="1" t="inlineStr">
        <is>
          <t>Ticker</t>
        </is>
      </c>
      <c r="C1" s="1" t="inlineStr">
        <is>
          <t>Buy Date</t>
        </is>
      </c>
      <c r="D1" s="1" t="inlineStr">
        <is>
          <t>Buy Price</t>
        </is>
      </c>
      <c r="E1" s="1" t="inlineStr">
        <is>
          <t>Quantity</t>
        </is>
      </c>
      <c r="F1" s="1" t="inlineStr">
        <is>
          <t>Investment Amount</t>
        </is>
      </c>
      <c r="G1" s="1" t="inlineStr">
        <is>
          <t>Current Price</t>
        </is>
      </c>
      <c r="H1" s="1" t="inlineStr">
        <is>
          <t>Current Value</t>
        </is>
      </c>
      <c r="I1" s="1" t="inlineStr">
        <is>
          <t>Unrealized P/L</t>
        </is>
      </c>
      <c r="J1" s="1" t="inlineStr">
        <is>
          <t>Return %</t>
        </is>
      </c>
      <c r="K1" s="1" t="inlineStr">
        <is>
          <t>Target Allocation %</t>
        </is>
      </c>
      <c r="L1" s="1" t="inlineStr">
        <is>
          <t>Actual Allocation %</t>
        </is>
      </c>
      <c r="M1" s="1" t="inlineStr">
        <is>
          <t>Rebalance Required</t>
        </is>
      </c>
      <c r="N1" s="1" t="inlineStr">
        <is>
          <t>Status</t>
        </is>
      </c>
    </row>
    <row r="2" ht="15" customHeight="1">
      <c r="A2" t="inlineStr">
        <is>
          <t>Computer Age Management Services</t>
        </is>
      </c>
      <c r="B2" t="inlineStr">
        <is>
          <t>CAMS</t>
        </is>
      </c>
      <c r="D2" s="16" t="n"/>
      <c r="F2" s="17" t="n"/>
      <c r="G2" s="18">
        <f>IF(B2="","",IFERROR(VLOOKUP(B2&amp;"*",'Master Universe'!$C:$AI,33,FALSE()),""))</f>
        <v/>
      </c>
      <c r="H2" s="19">
        <f>IF(OR(E2="",G2=""),"",ROUND(E2*G2,0))</f>
        <v/>
      </c>
      <c r="I2" s="19">
        <f>IF(OR(H2="",F2=""),"",H2-F2)</f>
        <v/>
      </c>
      <c r="J2" s="14">
        <f>IF(OR(I2="",F2="",F2=0),"",ROUND(I2/F2*100,1))</f>
        <v/>
      </c>
      <c r="K2" t="inlineStr">
        <is>
          <t>20%</t>
        </is>
      </c>
      <c r="L2" s="14">
        <f>IF(H2="","",ROUND(H2/SUM($H$2:$H$15)*100,1))</f>
        <v/>
      </c>
      <c r="M2" s="2">
        <f>IF(OR(L2="",K2=""),"",IF(ABS(L2-VALUE(SUBSTITUTE(K2,"%","")))&gt;5,"Yes","No"))</f>
        <v/>
      </c>
      <c r="N2" t="inlineStr">
        <is>
          <t>Core</t>
        </is>
      </c>
    </row>
    <row r="3" ht="15" customHeight="1">
      <c r="A3" t="inlineStr">
        <is>
          <t>Tata Consultancy Services</t>
        </is>
      </c>
      <c r="B3" t="inlineStr">
        <is>
          <t>TCS</t>
        </is>
      </c>
      <c r="D3" s="16" t="n"/>
      <c r="F3" s="17" t="n"/>
      <c r="G3" s="18">
        <f>IF(B3="","",IFERROR(VLOOKUP(B3&amp;"*",'Master Universe'!$C:$AI,33,FALSE()),""))</f>
        <v/>
      </c>
      <c r="H3" s="19">
        <f>IF(OR(E3="",G3=""),"",ROUND(E3*G3,0))</f>
        <v/>
      </c>
      <c r="I3" s="19">
        <f>IF(OR(H3="",F3=""),"",H3-F3)</f>
        <v/>
      </c>
      <c r="J3" s="14">
        <f>IF(OR(I3="",F3="",F3=0),"",ROUND(I3/F3*100,1))</f>
        <v/>
      </c>
      <c r="K3" t="inlineStr">
        <is>
          <t>20%</t>
        </is>
      </c>
      <c r="L3" s="14">
        <f>IF(H3="","",ROUND(H3/SUM($H$2:$H$15)*100,1))</f>
        <v/>
      </c>
      <c r="M3" s="2">
        <f>IF(OR(L3="",K3=""),"",IF(ABS(L3-VALUE(SUBSTITUTE(K3,"%","")))&gt;5,"Yes","No"))</f>
        <v/>
      </c>
      <c r="N3" t="inlineStr">
        <is>
          <t>Core</t>
        </is>
      </c>
    </row>
    <row r="4" ht="15" customHeight="1">
      <c r="A4" t="inlineStr">
        <is>
          <t>Lupin</t>
        </is>
      </c>
      <c r="B4" t="inlineStr">
        <is>
          <t>LUPIN</t>
        </is>
      </c>
      <c r="D4" s="16" t="n"/>
      <c r="F4" s="17" t="n"/>
      <c r="G4" s="18">
        <f>IF(B4="","",IFERROR(VLOOKUP(B4&amp;"*",'Master Universe'!$C:$AI,33,FALSE()),""))</f>
        <v/>
      </c>
      <c r="H4" s="19">
        <f>IF(OR(E4="",G4=""),"",ROUND(E4*G4,0))</f>
        <v/>
      </c>
      <c r="I4" s="19">
        <f>IF(OR(H4="",F4=""),"",H4-F4)</f>
        <v/>
      </c>
      <c r="J4" s="14">
        <f>IF(OR(I4="",F4="",F4=0),"",ROUND(I4/F4*100,1))</f>
        <v/>
      </c>
      <c r="K4" t="inlineStr">
        <is>
          <t>20%</t>
        </is>
      </c>
      <c r="L4" s="14">
        <f>IF(H4="","",ROUND(H4/SUM($H$2:$H$15)*100,1))</f>
        <v/>
      </c>
      <c r="M4" s="2">
        <f>IF(OR(L4="",K4=""),"",IF(ABS(L4-VALUE(SUBSTITUTE(K4,"%","")))&gt;5,"Yes","No"))</f>
        <v/>
      </c>
      <c r="N4" t="inlineStr">
        <is>
          <t>Core</t>
        </is>
      </c>
    </row>
    <row r="5" ht="15" customHeight="1">
      <c r="A5" t="inlineStr">
        <is>
          <t>Nesco</t>
        </is>
      </c>
      <c r="B5" t="inlineStr">
        <is>
          <t>NESCO</t>
        </is>
      </c>
      <c r="D5" s="16" t="n"/>
      <c r="F5" s="17" t="n"/>
      <c r="G5" s="18">
        <f>IF(B5="","",IFERROR(VLOOKUP(B5&amp;"*",'Master Universe'!$C:$AI,33,FALSE()),""))</f>
        <v/>
      </c>
      <c r="H5" s="19">
        <f>IF(OR(E5="",G5=""),"",ROUND(E5*G5,0))</f>
        <v/>
      </c>
      <c r="I5" s="19">
        <f>IF(OR(H5="",F5=""),"",H5-F5)</f>
        <v/>
      </c>
      <c r="J5" s="14">
        <f>IF(OR(I5="",F5="",F5=0),"",ROUND(I5/F5*100,1))</f>
        <v/>
      </c>
      <c r="K5" t="inlineStr">
        <is>
          <t>20%</t>
        </is>
      </c>
      <c r="L5" s="14">
        <f>IF(H5="","",ROUND(H5/SUM($H$2:$H$15)*100,1))</f>
        <v/>
      </c>
      <c r="M5" s="2">
        <f>IF(OR(L5="",K5=""),"",IF(ABS(L5-VALUE(SUBSTITUTE(K5,"%","")))&gt;5,"Yes","No"))</f>
        <v/>
      </c>
      <c r="N5" t="inlineStr">
        <is>
          <t>Core</t>
        </is>
      </c>
    </row>
    <row r="6" ht="15" customHeight="1">
      <c r="D6" s="16" t="n"/>
      <c r="F6" s="17" t="n"/>
      <c r="G6" s="18">
        <f>IF(B6="","",IFERROR(VLOOKUP(B6&amp;"*",'Master Universe'!$C:$AI,33,FALSE()),""))</f>
        <v/>
      </c>
      <c r="H6" s="19">
        <f>IF(OR(E6="",G6=""),"",ROUND(E6*G6,0))</f>
        <v/>
      </c>
      <c r="I6" s="19">
        <f>IF(OR(H6="",F6=""),"",H6-F6)</f>
        <v/>
      </c>
      <c r="J6" s="14">
        <f>IF(OR(I6="",F6="",F6=0),"",ROUND(I6/F6*100,1))</f>
        <v/>
      </c>
      <c r="L6" s="14">
        <f>IF(H6="","",ROUND(H6/SUM($H$2:$H$15)*100,1))</f>
        <v/>
      </c>
      <c r="M6" s="2">
        <f>IF(OR(L6="",K6=""),"",IF(ABS(L6-VALUE(SUBSTITUTE(K6,"%","")))&gt;5,"Yes","No"))</f>
        <v/>
      </c>
    </row>
    <row r="7" ht="15" customHeight="1">
      <c r="D7" s="16" t="n"/>
      <c r="F7" s="17" t="n"/>
      <c r="G7" s="18">
        <f>IF(B7="","",IFERROR(VLOOKUP(B7&amp;"*",'Master Universe'!$C:$AI,33,FALSE()),""))</f>
        <v/>
      </c>
      <c r="H7" s="19">
        <f>IF(OR(E7="",G7=""),"",ROUND(E7*G7,0))</f>
        <v/>
      </c>
      <c r="I7" s="19">
        <f>IF(OR(H7="",F7=""),"",H7-F7)</f>
        <v/>
      </c>
      <c r="J7" s="14">
        <f>IF(OR(I7="",F7="",F7=0),"",ROUND(I7/F7*100,1))</f>
        <v/>
      </c>
      <c r="L7" s="14">
        <f>IF(H7="","",ROUND(H7/SUM($H$2:$H$15)*100,1))</f>
        <v/>
      </c>
      <c r="M7" s="2">
        <f>IF(OR(L7="",K7=""),"",IF(ABS(L7-VALUE(SUBSTITUTE(K7,"%","")))&gt;5,"Yes","No"))</f>
        <v/>
      </c>
    </row>
    <row r="8" ht="15" customHeight="1">
      <c r="D8" s="16" t="n"/>
      <c r="F8" s="17" t="n"/>
      <c r="G8" s="18">
        <f>IF(B8="","",IFERROR(VLOOKUP(B8&amp;"*",'Master Universe'!$C:$AI,33,FALSE()),""))</f>
        <v/>
      </c>
      <c r="H8" s="19">
        <f>IF(OR(E8="",G8=""),"",ROUND(E8*G8,0))</f>
        <v/>
      </c>
      <c r="I8" s="19">
        <f>IF(OR(H8="",F8=""),"",H8-F8)</f>
        <v/>
      </c>
      <c r="J8" s="14">
        <f>IF(OR(I8="",F8="",F8=0),"",ROUND(I8/F8*100,1))</f>
        <v/>
      </c>
      <c r="L8" s="14">
        <f>IF(H8="","",ROUND(H8/SUM($H$2:$H$15)*100,1))</f>
        <v/>
      </c>
      <c r="M8" s="2">
        <f>IF(OR(L8="",K8=""),"",IF(ABS(L8-VALUE(SUBSTITUTE(K8,"%","")))&gt;5,"Yes","No"))</f>
        <v/>
      </c>
    </row>
    <row r="9" ht="15" customHeight="1">
      <c r="D9" s="16" t="n"/>
      <c r="F9" s="17" t="n"/>
      <c r="G9" s="18">
        <f>IF(B9="","",IFERROR(VLOOKUP(B9&amp;"*",'Master Universe'!$C:$AI,33,FALSE()),""))</f>
        <v/>
      </c>
      <c r="H9" s="19">
        <f>IF(OR(E9="",G9=""),"",ROUND(E9*G9,0))</f>
        <v/>
      </c>
      <c r="I9" s="19">
        <f>IF(OR(H9="",F9=""),"",H9-F9)</f>
        <v/>
      </c>
      <c r="J9" s="14">
        <f>IF(OR(I9="",F9="",F9=0),"",ROUND(I9/F9*100,1))</f>
        <v/>
      </c>
      <c r="L9" s="14">
        <f>IF(H9="","",ROUND(H9/SUM($H$2:$H$15)*100,1))</f>
        <v/>
      </c>
      <c r="M9" s="2">
        <f>IF(OR(L9="",K9=""),"",IF(ABS(L9-VALUE(SUBSTITUTE(K9,"%","")))&gt;5,"Yes","No"))</f>
        <v/>
      </c>
    </row>
    <row r="10" ht="15" customHeight="1">
      <c r="D10" s="16" t="n"/>
      <c r="F10" s="17" t="n"/>
      <c r="G10" s="18">
        <f>IF(B10="","",IFERROR(VLOOKUP(B10&amp;"*",'Master Universe'!$C:$AI,33,FALSE()),""))</f>
        <v/>
      </c>
      <c r="H10" s="19">
        <f>IF(OR(E10="",G10=""),"",ROUND(E10*G10,0))</f>
        <v/>
      </c>
      <c r="I10" s="19">
        <f>IF(OR(H10="",F10=""),"",H10-F10)</f>
        <v/>
      </c>
      <c r="J10" s="14">
        <f>IF(OR(I10="",F10="",F10=0),"",ROUND(I10/F10*100,1))</f>
        <v/>
      </c>
      <c r="L10" s="14">
        <f>IF(H10="","",ROUND(H10/SUM($H$2:$H$15)*100,1))</f>
        <v/>
      </c>
      <c r="M10" s="2">
        <f>IF(OR(L10="",K10=""),"",IF(ABS(L10-VALUE(SUBSTITUTE(K10,"%","")))&gt;5,"Yes","No"))</f>
        <v/>
      </c>
    </row>
    <row r="11" ht="15" customHeight="1">
      <c r="D11" s="16" t="n"/>
      <c r="F11" s="17" t="n"/>
      <c r="G11" s="18">
        <f>IF(B11="","",IFERROR(VLOOKUP(B11&amp;"*",'Master Universe'!$C:$AI,33,FALSE()),""))</f>
        <v/>
      </c>
      <c r="H11" s="19">
        <f>IF(OR(E11="",G11=""),"",ROUND(E11*G11,0))</f>
        <v/>
      </c>
      <c r="I11" s="19">
        <f>IF(OR(H11="",F11=""),"",H11-F11)</f>
        <v/>
      </c>
      <c r="J11" s="14">
        <f>IF(OR(I11="",F11="",F11=0),"",ROUND(I11/F11*100,1))</f>
        <v/>
      </c>
      <c r="L11" s="14">
        <f>IF(H11="","",ROUND(H11/SUM($H$2:$H$15)*100,1))</f>
        <v/>
      </c>
      <c r="M11" s="2">
        <f>IF(OR(L11="",K11=""),"",IF(ABS(L11-VALUE(SUBSTITUTE(K11,"%","")))&gt;5,"Yes","No"))</f>
        <v/>
      </c>
    </row>
    <row r="12" ht="15" customHeight="1">
      <c r="D12" s="16" t="n"/>
      <c r="F12" s="17" t="n"/>
      <c r="G12" s="18">
        <f>IF(B12="","",IFERROR(VLOOKUP(B12&amp;"*",'Master Universe'!$C:$AI,33,FALSE()),""))</f>
        <v/>
      </c>
      <c r="H12" s="19">
        <f>IF(OR(E12="",G12=""),"",ROUND(E12*G12,0))</f>
        <v/>
      </c>
      <c r="I12" s="19">
        <f>IF(OR(H12="",F12=""),"",H12-F12)</f>
        <v/>
      </c>
      <c r="J12" s="14">
        <f>IF(OR(I12="",F12="",F12=0),"",ROUND(I12/F12*100,1))</f>
        <v/>
      </c>
      <c r="L12" s="14">
        <f>IF(H12="","",ROUND(H12/SUM($H$2:$H$15)*100,1))</f>
        <v/>
      </c>
      <c r="M12" s="2">
        <f>IF(OR(L12="",K12=""),"",IF(ABS(L12-VALUE(SUBSTITUTE(K12,"%","")))&gt;5,"Yes","No"))</f>
        <v/>
      </c>
    </row>
    <row r="13" ht="15" customHeight="1">
      <c r="D13" s="16" t="n"/>
      <c r="F13" s="17" t="n"/>
      <c r="G13" s="18">
        <f>IF(B13="","",IFERROR(VLOOKUP(B13&amp;"*",'Master Universe'!$C:$AI,33,FALSE()),""))</f>
        <v/>
      </c>
      <c r="H13" s="19">
        <f>IF(OR(E13="",G13=""),"",ROUND(E13*G13,0))</f>
        <v/>
      </c>
      <c r="I13" s="19">
        <f>IF(OR(H13="",F13=""),"",H13-F13)</f>
        <v/>
      </c>
      <c r="J13" s="14">
        <f>IF(OR(I13="",F13="",F13=0),"",ROUND(I13/F13*100,1))</f>
        <v/>
      </c>
      <c r="L13" s="14">
        <f>IF(H13="","",ROUND(H13/SUM($H$2:$H$15)*100,1))</f>
        <v/>
      </c>
      <c r="M13" s="2">
        <f>IF(OR(L13="",K13=""),"",IF(ABS(L13-VALUE(SUBSTITUTE(K13,"%","")))&gt;5,"Yes","No"))</f>
        <v/>
      </c>
    </row>
    <row r="14" ht="15" customHeight="1">
      <c r="D14" s="16" t="n"/>
      <c r="F14" s="17" t="n"/>
      <c r="G14" s="18">
        <f>IF(B14="","",IFERROR(VLOOKUP(B14&amp;"*",'Master Universe'!$C:$AI,33,FALSE()),""))</f>
        <v/>
      </c>
      <c r="H14" s="19">
        <f>IF(OR(E14="",G14=""),"",ROUND(E14*G14,0))</f>
        <v/>
      </c>
      <c r="I14" s="19">
        <f>IF(OR(H14="",F14=""),"",H14-F14)</f>
        <v/>
      </c>
      <c r="J14" s="14">
        <f>IF(OR(I14="",F14="",F14=0),"",ROUND(I14/F14*100,1))</f>
        <v/>
      </c>
      <c r="L14" s="14">
        <f>IF(H14="","",ROUND(H14/SUM($H$2:$H$15)*100,1))</f>
        <v/>
      </c>
      <c r="M14" s="2">
        <f>IF(OR(L14="",K14=""),"",IF(ABS(L14-VALUE(SUBSTITUTE(K14,"%","")))&gt;5,"Yes","No"))</f>
        <v/>
      </c>
    </row>
    <row r="15" ht="15" customHeight="1">
      <c r="D15" s="16" t="n"/>
      <c r="F15" s="17" t="n"/>
      <c r="G15" s="18">
        <f>IF(B15="","",IFERROR(VLOOKUP(B15&amp;"*",'Master Universe'!$C:$AI,33,FALSE()),""))</f>
        <v/>
      </c>
      <c r="H15" s="19">
        <f>IF(OR(E15="",G15=""),"",ROUND(E15*G15,0))</f>
        <v/>
      </c>
      <c r="I15" s="19">
        <f>IF(OR(H15="",F15=""),"",H15-F15)</f>
        <v/>
      </c>
      <c r="J15" s="14">
        <f>IF(OR(I15="",F15="",F15=0),"",ROUND(I15/F15*100,1))</f>
        <v/>
      </c>
      <c r="L15" s="14">
        <f>IF(H15="","",ROUND(H15/SUM($H$2:$H$15)*100,1))</f>
        <v/>
      </c>
      <c r="M15" s="2">
        <f>IF(OR(L15="",K15=""),"",IF(ABS(L15-VALUE(SUBSTITUTE(K15,"%","")))&gt;5,"Yes","No"))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20" customWidth="1" min="3" max="3"/>
    <col width="15" customWidth="1" min="4" max="5"/>
    <col width="16" customWidth="1" min="6" max="6"/>
    <col width="18" customWidth="1" min="7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Event Type</t>
        </is>
      </c>
      <c r="C1" s="1" t="inlineStr">
        <is>
          <t>Announcement Date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Impact on IOS</t>
        </is>
      </c>
      <c r="G1" s="1" t="inlineStr">
        <is>
          <t>Review Required</t>
        </is>
      </c>
      <c r="H1" s="1" t="inlineStr">
        <is>
          <t>Resolution Date</t>
        </is>
      </c>
      <c r="I1" s="1" t="inlineStr">
        <is>
          <t>Status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Acquisition</t>
        </is>
      </c>
      <c r="C2" t="inlineStr">
        <is>
          <t>Jun-2026</t>
        </is>
      </c>
      <c r="D2" t="inlineStr">
        <is>
          <t>High</t>
        </is>
      </c>
      <c r="E2" t="inlineStr">
        <is>
          <t>Nagarro acquisition</t>
        </is>
      </c>
      <c r="F2" t="inlineStr">
        <is>
          <t>Investment score review</t>
        </is>
      </c>
      <c r="G2" t="inlineStr">
        <is>
          <t>Yes</t>
        </is>
      </c>
      <c r="I2" t="inlineStr">
        <is>
          <t>Open</t>
        </is>
      </c>
      <c r="J2" t="inlineStr">
        <is>
          <t>Monitor leverage</t>
        </is>
      </c>
    </row>
    <row r="3" ht="15" customHeight="1">
      <c r="A3" t="inlineStr">
        <is>
          <t>Power Finance Corporation</t>
        </is>
      </c>
      <c r="B3" t="inlineStr">
        <is>
          <t>Merger</t>
        </is>
      </c>
      <c r="C3" t="inlineStr">
        <is>
          <t>Jun-2026</t>
        </is>
      </c>
      <c r="D3" t="inlineStr">
        <is>
          <t>High</t>
        </is>
      </c>
      <c r="E3" t="inlineStr">
        <is>
          <t>Board approved merger by absorption of REC into PFC (swap ratio 88 PFC : 100 REC)</t>
        </is>
      </c>
      <c r="F3" t="inlineStr">
        <is>
          <t>Investment score review</t>
        </is>
      </c>
      <c r="G3" t="inlineStr">
        <is>
          <t>Yes</t>
        </is>
      </c>
      <c r="I3" t="inlineStr">
        <is>
          <t>Open</t>
        </is>
      </c>
      <c r="J3" t="inlineStr">
        <is>
          <t>Do not score until combined-entity balance sheet and dilution are clear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16" customWidth="1" min="3" max="3"/>
    <col width="17" customWidth="1" min="4" max="4"/>
    <col width="19" customWidth="1" min="5" max="5"/>
    <col width="17" customWidth="1" min="6" max="6"/>
    <col width="28" customWidth="1" min="7" max="7"/>
    <col width="30" customWidth="1" min="8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Evidence Gate</t>
        </is>
      </c>
      <c r="D1" s="1" t="inlineStr">
        <is>
          <t>Business Score</t>
        </is>
      </c>
      <c r="E1" s="1" t="inlineStr">
        <is>
          <t>Investment Score</t>
        </is>
      </c>
      <c r="F1" s="1" t="inlineStr">
        <is>
          <t>Confidence (±)</t>
        </is>
      </c>
      <c r="G1" s="1" t="inlineStr">
        <is>
          <t>Changes Since Last Review</t>
        </is>
      </c>
      <c r="H1" s="1" t="inlineStr">
        <is>
          <t>Promotion/Demotion Decision</t>
        </is>
      </c>
      <c r="I1" s="1" t="inlineStr">
        <is>
          <t>Reviewer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Q2 FY27</t>
        </is>
      </c>
      <c r="C2" t="inlineStr">
        <is>
          <t>Pass</t>
        </is>
      </c>
      <c r="D2" t="n">
        <v>92</v>
      </c>
      <c r="E2" t="n">
        <v>68</v>
      </c>
      <c r="F2" t="inlineStr">
        <is>
          <t>±7</t>
        </is>
      </c>
      <c r="G2" t="inlineStr">
        <is>
          <t>Event overlay active</t>
        </is>
      </c>
      <c r="H2" t="inlineStr">
        <is>
          <t>Hold Bench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5"/>
  </cols>
  <sheetData>
    <row r="1" ht="15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Difference</t>
        </is>
      </c>
      <c r="E1" s="1" t="inlineStr">
        <is>
          <t>Comments</t>
        </is>
      </c>
    </row>
    <row r="2" ht="15" customHeight="1">
      <c r="A2" t="inlineStr">
        <is>
          <t>CAGR</t>
        </is>
      </c>
      <c r="C2" t="inlineStr">
        <is>
          <t>Nifty 50</t>
        </is>
      </c>
    </row>
    <row r="3" ht="15" customHeight="1">
      <c r="A3" t="inlineStr">
        <is>
          <t>Sharpe Ratio</t>
        </is>
      </c>
    </row>
    <row r="4" ht="15" customHeight="1">
      <c r="A4" t="inlineStr">
        <is>
          <t>Sortino Ratio</t>
        </is>
      </c>
    </row>
    <row r="5" ht="15" customHeight="1">
      <c r="A5" t="inlineStr">
        <is>
          <t>Max Drawdown</t>
        </is>
      </c>
    </row>
    <row r="6" ht="15" customHeight="1">
      <c r="A6" t="inlineStr">
        <is>
          <t>Alpha</t>
        </is>
      </c>
      <c r="C6" t="inlineStr">
        <is>
          <t>Nifty 50</t>
        </is>
      </c>
    </row>
    <row r="7" ht="15" customHeight="1">
      <c r="A7" t="inlineStr">
        <is>
          <t>Promotion Success Rate</t>
        </is>
      </c>
    </row>
    <row r="8" ht="15" customHeight="1">
      <c r="A8" t="inlineStr">
        <is>
          <t>Demotion Success Rate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Normal="100" workbookViewId="0">
      <selection activeCell="D4" sqref="D4"/>
    </sheetView>
  </sheetViews>
  <sheetFormatPr baseColWidth="8" defaultColWidth="8.7109375" defaultRowHeight="15"/>
  <cols>
    <col width="6" customWidth="1" min="1" max="1"/>
    <col width="32" customWidth="1" min="2" max="2"/>
    <col width="29.140625" customWidth="1" min="3" max="3"/>
    <col width="127" customWidth="1" min="4" max="4"/>
    <col width="16" customWidth="1" min="5" max="5"/>
    <col width="12" customWidth="1" min="6" max="6"/>
    <col width="55" customWidth="1" min="7" max="7"/>
  </cols>
  <sheetData>
    <row r="1" ht="15" customHeight="1">
      <c r="A1" s="20" t="inlineStr">
        <is>
          <t>Rank</t>
        </is>
      </c>
      <c r="B1" s="20" t="inlineStr">
        <is>
          <t>Company</t>
        </is>
      </c>
      <c r="C1" s="20" t="inlineStr">
        <is>
          <t>Gap Type</t>
        </is>
      </c>
      <c r="D1" s="20" t="inlineStr">
        <is>
          <t>Catalyst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Notes</t>
        </is>
      </c>
    </row>
    <row r="2" ht="15" customHeight="1">
      <c r="A2" t="n">
        <v>1</v>
      </c>
      <c r="B2" t="inlineStr">
        <is>
          <t>Star Health and Allied Insurance Company</t>
        </is>
      </c>
      <c r="C2" t="inlineStr">
        <is>
          <t>Resolvable</t>
        </is>
      </c>
      <c r="D2" t="inlineStr">
        <is>
          <t>Q1 FY27 underwriting results - combined ratio persistence</t>
        </is>
      </c>
      <c r="E2" t="inlineStr">
        <is>
          <t>Next earnings</t>
        </is>
      </c>
      <c r="F2" t="inlineStr">
        <is>
          <t>Active</t>
        </is>
      </c>
      <c r="G2" t="inlineStr">
        <is>
          <t>Also confirm solvency ratio (214% claimed, unverified) directly against IRDAI filing</t>
        </is>
      </c>
    </row>
    <row r="3" ht="15" customHeight="1">
      <c r="A3" t="n">
        <v>2</v>
      </c>
      <c r="B3" t="inlineStr">
        <is>
          <t>Coforge</t>
        </is>
      </c>
      <c r="C3" t="inlineStr">
        <is>
          <t>Resolvable</t>
        </is>
      </c>
      <c r="D3" t="inlineStr">
        <is>
          <t>First 1-2 post-Encora quarters - margin, debt paydown, EPS accretion</t>
        </is>
      </c>
      <c r="E3" t="inlineStr">
        <is>
          <t>Next earnings</t>
        </is>
      </c>
      <c r="F3" t="inlineStr">
        <is>
          <t>Active</t>
        </is>
      </c>
      <c r="G3" t="inlineStr">
        <is>
          <t>Do not promote over TCS until 2 consecutive Thesis Health Scores &gt;80</t>
        </is>
      </c>
    </row>
    <row r="4" ht="15" customHeight="1">
      <c r="A4" t="n">
        <v>3</v>
      </c>
      <c r="B4" t="inlineStr">
        <is>
          <t>Sharda Cropchem</t>
        </is>
      </c>
      <c r="C4" t="inlineStr">
        <is>
          <t>Data Confidence (blocking)</t>
        </is>
      </c>
      <c r="D4" t="inlineStr">
        <is>
          <t>Reconcile FY26 revenue/PAT figures against BSE filing directly</t>
        </is>
      </c>
      <c r="E4" t="inlineStr">
        <is>
          <t>Before further work</t>
        </is>
      </c>
      <c r="F4" t="inlineStr">
        <is>
          <t>Blocked</t>
        </is>
      </c>
      <c r="G4" t="inlineStr">
        <is>
          <t>Two unresolved data conflicts (ROE basis + FY26 headline financials) - do not proceed to qualitative review until resolved</t>
        </is>
      </c>
    </row>
    <row r="5" ht="15" customHeight="1">
      <c r="A5" t="n">
        <v>4</v>
      </c>
      <c r="B5" t="inlineStr">
        <is>
          <t>Premier Energies</t>
        </is>
      </c>
      <c r="C5" t="inlineStr">
        <is>
          <t>Mixed (Structural + Resolvable)</t>
        </is>
      </c>
      <c r="D5" t="inlineStr">
        <is>
          <t>FCF turning positive post-capex cycle</t>
        </is>
      </c>
      <c r="E5" t="inlineStr">
        <is>
          <t>Quarterly</t>
        </is>
      </c>
      <c r="F5" t="inlineStr">
        <is>
          <t>Active</t>
        </is>
      </c>
      <c r="G5" t="inlineStr">
        <is>
          <t>Policy dependency (ALMM/PLI) is permanent - do not let a good FCF quarter erase that discount</t>
        </is>
      </c>
    </row>
    <row r="6" ht="15" customHeight="1">
      <c r="A6" t="n">
        <v>5</v>
      </c>
      <c r="B6" t="inlineStr">
        <is>
          <t>Aegis Logistics</t>
        </is>
      </c>
      <c r="C6" t="inlineStr">
        <is>
          <t>Data Confidence (blocking)</t>
        </is>
      </c>
      <c r="D6" t="inlineStr">
        <is>
          <t>Resolve ROCE conflict (24.93% vs 15.37%) against primary source</t>
        </is>
      </c>
      <c r="E6" t="inlineStr">
        <is>
          <t>Before scoring</t>
        </is>
      </c>
      <c r="F6" t="inlineStr">
        <is>
          <t>Blocked</t>
        </is>
      </c>
      <c r="G6" t="inlineStr">
        <is>
          <t>Revenue growth also decelerating (-0.1% FY25 vs 5yr CAGR 28.2%) - check if trend continues</t>
        </is>
      </c>
    </row>
    <row r="7" ht="15" customHeight="1">
      <c r="A7" t="n">
        <v>6</v>
      </c>
      <c r="B7" t="inlineStr">
        <is>
          <t>Avalon Technologies</t>
        </is>
      </c>
      <c r="C7" t="inlineStr">
        <is>
          <t>Structural (currently Fail)</t>
        </is>
      </c>
      <c r="D7" t="inlineStr">
        <is>
          <t>ROE/ROCE improvement needed, not just narrative</t>
        </is>
      </c>
      <c r="E7" t="inlineStr">
        <is>
          <t>Quarterly</t>
        </is>
      </c>
      <c r="F7" t="inlineStr">
        <is>
          <t>Low priority</t>
        </is>
      </c>
      <c r="G7" t="inlineStr">
        <is>
          <t>ROE ~9-11%, ROCE ~12.4% - well below threshold; re-check only if fundamentals materially change</t>
        </is>
      </c>
    </row>
    <row r="8" ht="15" customHeight="1">
      <c r="A8" t="n">
        <v>7</v>
      </c>
      <c r="B8" t="inlineStr">
        <is>
          <t>eClerx Services</t>
        </is>
      </c>
      <c r="C8" t="inlineStr">
        <is>
          <t>Structural + Data Confidence</t>
        </is>
      </c>
      <c r="D8" t="inlineStr">
        <is>
          <t>ROCE-decline explanation; profit-quality (depreciation policy, receivables) check</t>
        </is>
      </c>
      <c r="E8" t="inlineStr">
        <is>
          <t>Quarterly</t>
        </is>
      </c>
      <c r="F8" t="inlineStr">
        <is>
          <t>Monitor</t>
        </is>
      </c>
      <c r="G8" t="inlineStr">
        <is>
          <t>Theme overlaps with TCS (IT) - would need explicit exception if ever promoted</t>
        </is>
      </c>
    </row>
    <row r="9" ht="15" customHeight="1">
      <c r="A9" t="n">
        <v>8</v>
      </c>
      <c r="B9" t="inlineStr">
        <is>
          <t>BLS International Services</t>
        </is>
      </c>
      <c r="C9" t="inlineStr">
        <is>
          <t>Resolvable</t>
        </is>
      </c>
      <c r="D9" t="inlineStr">
        <is>
          <t>FY27 government contract renewal confirmation</t>
        </is>
      </c>
      <c r="E9" t="inlineStr">
        <is>
          <t>Next earnings</t>
        </is>
      </c>
      <c r="F9" t="inlineStr">
        <is>
          <t>Active</t>
        </is>
      </c>
      <c r="G9" t="inlineStr">
        <is>
          <t>Management self-disclosed renewal uncertainty and guided growth deceleration</t>
        </is>
      </c>
    </row>
    <row r="10" ht="15" customHeight="1">
      <c r="A10" t="n">
        <v>9</v>
      </c>
      <c r="B10" t="inlineStr">
        <is>
          <t>Titan Company</t>
        </is>
      </c>
      <c r="C10" t="inlineStr">
        <is>
          <t>Data Confidence (blocking)</t>
        </is>
      </c>
      <c r="D10" t="inlineStr">
        <is>
          <t>Resolve ROCE conflict (20-21% vs 37.37%) and D/E conflict (0 vs 1.56)</t>
        </is>
      </c>
      <c r="E10" t="inlineStr">
        <is>
          <t>Before scoring</t>
        </is>
      </c>
      <c r="F10" t="inlineStr">
        <is>
          <t>Blocked</t>
        </is>
      </c>
      <c r="G10" t="inlineStr">
        <is>
          <t>Also check Piotroski F-Score of 2 (Below Average) despite strong headline ROE - needs explanation</t>
        </is>
      </c>
    </row>
    <row r="11" ht="15" customHeight="1">
      <c r="A11" t="n">
        <v>10</v>
      </c>
      <c r="B11" t="inlineStr">
        <is>
          <t>Neuland Laboratories</t>
        </is>
      </c>
      <c r="C11" t="inlineStr">
        <is>
          <t>Resolvable</t>
        </is>
      </c>
      <c r="D11" t="inlineStr">
        <is>
          <t>Working capital trend and FCF (currently negative)</t>
        </is>
      </c>
      <c r="E11" t="inlineStr">
        <is>
          <t>Quarterly</t>
        </is>
      </c>
      <c r="F11" t="inlineStr">
        <is>
          <t>Monitor</t>
        </is>
      </c>
      <c r="G11" t="inlineStr">
        <is>
          <t>Promoter holding declining -3.5% over 3yrs - watch for continuation</t>
        </is>
      </c>
    </row>
    <row r="12" ht="15" customHeight="1">
      <c r="A12" t="n">
        <v>11</v>
      </c>
      <c r="B12" t="inlineStr">
        <is>
          <t>Power Finance Corporation</t>
        </is>
      </c>
      <c r="C12" t="inlineStr">
        <is>
          <t>Structural (Corporate Action)</t>
        </is>
      </c>
      <c r="D12" t="inlineStr">
        <is>
          <t>PFC-REC merger integration - combined balance sheet, dilution, ROE impact</t>
        </is>
      </c>
      <c r="E12" t="inlineStr">
        <is>
          <t>Before scoring</t>
        </is>
      </c>
      <c r="F12" t="inlineStr">
        <is>
          <t>Blocked</t>
        </is>
      </c>
      <c r="G12" t="inlineStr">
        <is>
          <t>Merger board-approved 28-Jun-2026; do not treat standalone PFC metrics as forward-representative</t>
        </is>
      </c>
    </row>
    <row r="13" ht="15" customHeight="1">
      <c r="A13" t="n">
        <v>12</v>
      </c>
      <c r="B13" t="inlineStr">
        <is>
          <t>CreditAccess Grameen</t>
        </is>
      </c>
      <c r="C13" t="inlineStr">
        <is>
          <t>Resolvable</t>
        </is>
      </c>
      <c r="D13" t="inlineStr">
        <is>
          <t>Confirm ROE/ROA recovery holds for 2 more quarters vs FY27 guidance (ROE 16-20%)</t>
        </is>
      </c>
      <c r="E13" t="inlineStr">
        <is>
          <t>Next earnings</t>
        </is>
      </c>
      <c r="F13" t="inlineStr">
        <is>
          <t>Active</t>
        </is>
      </c>
      <c r="G13" t="inlineStr">
        <is>
          <t>Q4 FY26 already shows sharp recovery (ROE 17.8%) after Karnataka-driven MFI stress</t>
        </is>
      </c>
    </row>
    <row r="14" ht="15" customHeight="1">
      <c r="A14" t="n">
        <v>13</v>
      </c>
      <c r="B14" t="inlineStr">
        <is>
          <t>Larsen &amp; Toubro</t>
        </is>
      </c>
      <c r="C14" t="inlineStr">
        <is>
          <t>Data Confidence (blocking)</t>
        </is>
      </c>
      <c r="D14" t="inlineStr">
        <is>
          <t>Segment-level D/E excluding financial-services arm to get a clean EPC leverage read</t>
        </is>
      </c>
      <c r="E14" t="inlineStr">
        <is>
          <t>Before scoring</t>
        </is>
      </c>
      <c r="F14" t="inlineStr">
        <is>
          <t>Blocked</t>
        </is>
      </c>
      <c r="G14" t="inlineStr">
        <is>
          <t>Consolidated D/E of 1.12-1.41x is not comparable to pure-EPC peers without segmental split</t>
        </is>
      </c>
    </row>
    <row r="15" ht="15" customHeight="1">
      <c r="A15" t="n">
        <v>14</v>
      </c>
      <c r="B15" t="inlineStr">
        <is>
          <t>Mahindra Holidays</t>
        </is>
      </c>
      <c r="C15" t="inlineStr">
        <is>
          <t>Structural + Data Confidence</t>
        </is>
      </c>
      <c r="D15" t="inlineStr">
        <is>
          <t>Resolve Altman Z-score of 0.83 (weakest of peers) and ROCE-decline trend</t>
        </is>
      </c>
      <c r="E15" t="inlineStr">
        <is>
          <t>Next earnings</t>
        </is>
      </c>
      <c r="F15" t="inlineStr">
        <is>
          <t>Monitor</t>
        </is>
      </c>
      <c r="G15" t="inlineStr">
        <is>
          <t>Q4 FY26 profit fell 43.1% YoY on Mauritius impairment - check if one-off or recurring</t>
        </is>
      </c>
    </row>
    <row r="16" ht="15" customHeight="1">
      <c r="A16" t="n">
        <v>15</v>
      </c>
      <c r="B16" t="inlineStr">
        <is>
          <t>Vikram Solar</t>
        </is>
      </c>
      <c r="C16" t="inlineStr">
        <is>
          <t>Data Confidence (blocking)</t>
        </is>
      </c>
      <c r="D16" t="inlineStr">
        <is>
          <t>Understand NCLT insolvency admission / NCLAT set-aside (29-Jun-2026) and reconcile D/E (1.81x vs implied lower post FY25 debt paydown)</t>
        </is>
      </c>
      <c r="E16" t="inlineStr">
        <is>
          <t>Before further work</t>
        </is>
      </c>
      <c r="F16" t="inlineStr">
        <is>
          <t>Blocked</t>
        </is>
      </c>
      <c r="G16" t="inlineStr">
        <is>
          <t>Do not treat NCLAT set-aside as risk-resolved; understand root cause before any scoring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Capital Allocation Score</t>
        </is>
      </c>
      <c r="D1" t="inlineStr">
        <is>
          <t>Management Score</t>
        </is>
      </c>
      <c r="E1" t="inlineStr">
        <is>
          <t>Moat Score</t>
        </is>
      </c>
      <c r="F1" t="inlineStr">
        <is>
          <t>Growth Score</t>
        </is>
      </c>
      <c r="G1" t="inlineStr">
        <is>
          <t>Risk Score</t>
        </is>
      </c>
      <c r="H1" t="inlineStr">
        <is>
          <t>Note</t>
        </is>
      </c>
    </row>
    <row r="2">
      <c r="A2" t="inlineStr">
        <is>
          <t>Computer Age Management Services (CAMS)</t>
        </is>
      </c>
      <c r="B2" t="inlineStr">
        <is>
          <t>CAMS.NS</t>
        </is>
      </c>
      <c r="C2" t="n">
        <v>95</v>
      </c>
      <c r="D2" t="n">
        <v>90</v>
      </c>
      <c r="E2" t="n">
        <v>95</v>
      </c>
      <c r="F2" t="n">
        <v>80</v>
      </c>
      <c r="G2" t="n">
        <v>80</v>
      </c>
      <c r="H2" t="inlineStr">
        <is>
          <t>Archived manual/heuristic scores drafted early in this project, before the ios_v4 automated engine existed. Superseded by Business Score, Investment Score, and Risk Score (Engine) in Master Universe. Kept here for historical reference only - do not use for current decisions.</t>
        </is>
      </c>
    </row>
    <row r="3">
      <c r="A3" t="inlineStr">
        <is>
          <t>Tata Consultancy Services</t>
        </is>
      </c>
      <c r="B3" t="inlineStr">
        <is>
          <t>TCS.NS</t>
        </is>
      </c>
      <c r="C3" t="n">
        <v>95</v>
      </c>
      <c r="D3" t="n">
        <v>95</v>
      </c>
      <c r="E3" t="n">
        <v>95</v>
      </c>
      <c r="F3" t="n">
        <v>32</v>
      </c>
      <c r="G3" t="n">
        <v>90</v>
      </c>
    </row>
    <row r="4">
      <c r="A4" t="inlineStr">
        <is>
          <t>Lupin</t>
        </is>
      </c>
      <c r="B4" t="inlineStr">
        <is>
          <t>LUPIN.NS</t>
        </is>
      </c>
      <c r="C4" t="n">
        <v>85</v>
      </c>
      <c r="D4" t="n">
        <v>80</v>
      </c>
      <c r="E4" t="n">
        <v>70</v>
      </c>
      <c r="F4" t="n">
        <v>100</v>
      </c>
      <c r="G4" t="n">
        <v>70</v>
      </c>
    </row>
    <row r="5">
      <c r="A5" t="inlineStr">
        <is>
          <t>Nesco</t>
        </is>
      </c>
      <c r="B5" t="inlineStr">
        <is>
          <t>NESCO.NS</t>
        </is>
      </c>
      <c r="C5" t="n">
        <v>75</v>
      </c>
      <c r="D5" t="n">
        <v>80</v>
      </c>
      <c r="E5" t="n">
        <v>75</v>
      </c>
      <c r="F5" t="n">
        <v>64</v>
      </c>
      <c r="G5" t="n">
        <v>85</v>
      </c>
    </row>
    <row r="6">
      <c r="A6" t="inlineStr">
        <is>
          <t>Persistent Systems</t>
        </is>
      </c>
      <c r="B6" t="inlineStr">
        <is>
          <t>PERSISTENT.NS</t>
        </is>
      </c>
      <c r="C6" t="n">
        <v>85</v>
      </c>
      <c r="D6" t="n">
        <v>80</v>
      </c>
      <c r="E6" t="n">
        <v>75</v>
      </c>
      <c r="F6" t="n">
        <v>100</v>
      </c>
      <c r="G6" t="n">
        <v>65</v>
      </c>
    </row>
    <row r="7">
      <c r="A7" t="inlineStr">
        <is>
          <t>RR Kabel</t>
        </is>
      </c>
      <c r="B7" t="inlineStr">
        <is>
          <t>RRKABEL.NS</t>
        </is>
      </c>
      <c r="C7" t="n">
        <v>70</v>
      </c>
      <c r="D7" t="n">
        <v>70</v>
      </c>
      <c r="E7" t="n">
        <v>55</v>
      </c>
      <c r="F7" t="n">
        <v>44</v>
      </c>
      <c r="G7" t="n">
        <v>60</v>
      </c>
    </row>
    <row r="8">
      <c r="A8" t="inlineStr">
        <is>
          <t>Cummins India</t>
        </is>
      </c>
      <c r="B8" t="inlineStr">
        <is>
          <t>CUMMINSIND.NS</t>
        </is>
      </c>
      <c r="C8" t="n">
        <v>85</v>
      </c>
      <c r="D8" t="n">
        <v>85</v>
      </c>
      <c r="E8" t="n">
        <v>75</v>
      </c>
      <c r="F8" t="n">
        <v>100</v>
      </c>
      <c r="G8" t="n">
        <v>75</v>
      </c>
    </row>
    <row r="9">
      <c r="A9" t="inlineStr">
        <is>
          <t>MTAR Technologies</t>
        </is>
      </c>
      <c r="B9" t="inlineStr">
        <is>
          <t>MTARTECH.NS</t>
        </is>
      </c>
      <c r="C9" t="n">
        <v>40</v>
      </c>
      <c r="D9" t="n">
        <v>55</v>
      </c>
      <c r="E9" t="n">
        <v>60</v>
      </c>
      <c r="F9" t="n">
        <v>30</v>
      </c>
      <c r="G9" t="n">
        <v>40</v>
      </c>
    </row>
    <row r="10">
      <c r="A10" t="inlineStr">
        <is>
          <t>Aegis Logistics</t>
        </is>
      </c>
      <c r="B10" t="inlineStr">
        <is>
          <t>AEGISLOG.NS</t>
        </is>
      </c>
      <c r="C10" t="n">
        <v>55</v>
      </c>
      <c r="D10" t="n">
        <v>70</v>
      </c>
      <c r="E10" t="n">
        <v>60</v>
      </c>
      <c r="F10" t="n">
        <v>100</v>
      </c>
      <c r="G10" t="n">
        <v>55</v>
      </c>
    </row>
    <row r="11">
      <c r="A11" t="inlineStr">
        <is>
          <t>Neuland Laboratories</t>
        </is>
      </c>
      <c r="B11" t="inlineStr">
        <is>
          <t>NEULANDLAB.NS</t>
        </is>
      </c>
      <c r="C11" t="n">
        <v>65</v>
      </c>
      <c r="D11" t="n">
        <v>65</v>
      </c>
      <c r="E11" t="n">
        <v>65</v>
      </c>
      <c r="F11" t="n">
        <v>100</v>
      </c>
      <c r="G11" t="n">
        <v>55</v>
      </c>
    </row>
    <row r="12">
      <c r="A12" t="inlineStr">
        <is>
          <t>Elecon Engineering</t>
        </is>
      </c>
      <c r="B12" t="inlineStr">
        <is>
          <t>ELECON.NS</t>
        </is>
      </c>
      <c r="C12" t="n">
        <v>65</v>
      </c>
      <c r="D12" t="n">
        <v>60</v>
      </c>
      <c r="E12" t="n">
        <v>55</v>
      </c>
      <c r="F12" t="n">
        <v>70</v>
      </c>
      <c r="G12" t="n">
        <v>60</v>
      </c>
    </row>
    <row r="13">
      <c r="A13" t="inlineStr">
        <is>
          <t>State Bank of India</t>
        </is>
      </c>
      <c r="B13" t="inlineStr">
        <is>
          <t>SBIN.NS</t>
        </is>
      </c>
      <c r="C13" t="n">
        <v>70</v>
      </c>
      <c r="D13" t="n">
        <v>65</v>
      </c>
      <c r="E13" t="n">
        <v>70</v>
      </c>
      <c r="F13" t="n">
        <v>52</v>
      </c>
      <c r="G13" t="n">
        <v>65</v>
      </c>
    </row>
    <row r="14">
      <c r="A14" t="inlineStr">
        <is>
          <t>Titan Company</t>
        </is>
      </c>
      <c r="B14" t="inlineStr">
        <is>
          <t>TITAN.NS</t>
        </is>
      </c>
      <c r="C14" t="n">
        <v>55</v>
      </c>
      <c r="D14" t="n">
        <v>60</v>
      </c>
      <c r="E14" t="n">
        <v>85</v>
      </c>
      <c r="F14" t="n">
        <v>60</v>
      </c>
      <c r="G14" t="n">
        <v>55</v>
      </c>
    </row>
    <row r="15">
      <c r="A15" t="inlineStr">
        <is>
          <t>Tech Mahindra</t>
        </is>
      </c>
      <c r="B15" t="inlineStr">
        <is>
          <t>TECHM.NS</t>
        </is>
      </c>
      <c r="C15" t="n">
        <v>65</v>
      </c>
      <c r="D15" t="n">
        <v>60</v>
      </c>
      <c r="E15" t="n">
        <v>55</v>
      </c>
      <c r="F15" t="n">
        <v>32</v>
      </c>
      <c r="G15" t="n">
        <v>70</v>
      </c>
    </row>
    <row r="16">
      <c r="A16" t="inlineStr">
        <is>
          <t>Larsen &amp; Toubro</t>
        </is>
      </c>
      <c r="B16" t="inlineStr">
        <is>
          <t>LT.NS</t>
        </is>
      </c>
      <c r="C16" t="n">
        <v>60</v>
      </c>
      <c r="D16" t="n">
        <v>80</v>
      </c>
      <c r="E16" t="n">
        <v>80</v>
      </c>
      <c r="F16" t="n">
        <v>48</v>
      </c>
      <c r="G16" t="n">
        <v>55</v>
      </c>
    </row>
    <row r="17">
      <c r="A17" t="inlineStr">
        <is>
          <t>Avalon Technologies</t>
        </is>
      </c>
      <c r="B17" t="inlineStr">
        <is>
          <t>AVALON.NS</t>
        </is>
      </c>
      <c r="C17" t="n">
        <v>35</v>
      </c>
      <c r="D17" t="n">
        <v>55</v>
      </c>
      <c r="E17" t="n">
        <v>45</v>
      </c>
      <c r="F17" t="n">
        <v>100</v>
      </c>
      <c r="G17" t="n">
        <v>45</v>
      </c>
    </row>
    <row r="18">
      <c r="A18" t="inlineStr">
        <is>
          <t>CG Power and Industrial Solutions</t>
        </is>
      </c>
      <c r="B18" t="inlineStr">
        <is>
          <t>CGPOWER.NS</t>
        </is>
      </c>
      <c r="C18" t="n">
        <v>80</v>
      </c>
      <c r="D18" t="n">
        <v>75</v>
      </c>
      <c r="E18" t="n">
        <v>70</v>
      </c>
      <c r="F18" t="n">
        <v>100</v>
      </c>
      <c r="G18" t="n">
        <v>65</v>
      </c>
    </row>
    <row r="19">
      <c r="A19" t="inlineStr">
        <is>
          <t>Tejas Networks</t>
        </is>
      </c>
      <c r="B19" t="inlineStr">
        <is>
          <t>TEJASNET.NS</t>
        </is>
      </c>
      <c r="C19" t="n">
        <v>20</v>
      </c>
      <c r="D19" t="n">
        <v>40</v>
      </c>
      <c r="E19" t="n">
        <v>45</v>
      </c>
      <c r="F19" t="n">
        <v>0</v>
      </c>
      <c r="G19" t="n">
        <v>20</v>
      </c>
    </row>
    <row r="20">
      <c r="A20" t="inlineStr">
        <is>
          <t>ACME Solar Holdings</t>
        </is>
      </c>
      <c r="B20" t="inlineStr">
        <is>
          <t>ACMESOLAR.NS</t>
        </is>
      </c>
      <c r="C20" t="n">
        <v>35</v>
      </c>
      <c r="D20" t="n">
        <v>55</v>
      </c>
      <c r="E20" t="n">
        <v>50</v>
      </c>
      <c r="F20" t="n">
        <v>100</v>
      </c>
      <c r="G20" t="n">
        <v>35</v>
      </c>
    </row>
    <row r="21">
      <c r="A21" t="inlineStr">
        <is>
          <t>Atul Auto</t>
        </is>
      </c>
      <c r="B21" t="inlineStr">
        <is>
          <t>ATULAUTO.NS</t>
        </is>
      </c>
      <c r="C21" t="n">
        <v>30</v>
      </c>
      <c r="D21" t="n">
        <v>50</v>
      </c>
      <c r="E21" t="n">
        <v>40</v>
      </c>
      <c r="F21" t="n">
        <v>8</v>
      </c>
      <c r="G21" t="n">
        <v>45</v>
      </c>
    </row>
    <row r="22">
      <c r="A22" t="inlineStr">
        <is>
          <t>Mahindra Holidays &amp; Resorts India</t>
        </is>
      </c>
      <c r="B22" t="inlineStr">
        <is>
          <t>MHRIL.NS</t>
        </is>
      </c>
      <c r="C22" t="n">
        <v>35</v>
      </c>
      <c r="D22" t="n">
        <v>45</v>
      </c>
      <c r="E22" t="n">
        <v>55</v>
      </c>
      <c r="F22" t="n">
        <v>0</v>
      </c>
      <c r="G22" t="n">
        <v>25</v>
      </c>
    </row>
    <row r="23">
      <c r="A23" t="inlineStr">
        <is>
          <t>Power Finance Corporation</t>
        </is>
      </c>
      <c r="B23" t="inlineStr">
        <is>
          <t>PFC.NS</t>
        </is>
      </c>
      <c r="C23" t="n">
        <v>65</v>
      </c>
      <c r="D23" t="n">
        <v>60</v>
      </c>
      <c r="E23" t="n">
        <v>60</v>
      </c>
      <c r="F23" t="n">
        <v>60</v>
      </c>
      <c r="G23" t="n">
        <v>55</v>
      </c>
    </row>
    <row r="24">
      <c r="A24" t="inlineStr">
        <is>
          <t>ITC</t>
        </is>
      </c>
      <c r="B24" t="inlineStr">
        <is>
          <t>ITC.NS</t>
        </is>
      </c>
      <c r="C24" t="n">
        <v>85</v>
      </c>
      <c r="D24" t="n">
        <v>85</v>
      </c>
      <c r="E24" t="n">
        <v>90</v>
      </c>
      <c r="F24" t="n">
        <v>20</v>
      </c>
      <c r="G24" t="n">
        <v>85</v>
      </c>
    </row>
    <row r="25">
      <c r="A25" t="inlineStr">
        <is>
          <t>Eicher Motors</t>
        </is>
      </c>
      <c r="B25" t="inlineStr">
        <is>
          <t>EICHERMOT.NS</t>
        </is>
      </c>
      <c r="C25" t="n">
        <v>85</v>
      </c>
      <c r="D25" t="n">
        <v>80</v>
      </c>
      <c r="E25" t="n">
        <v>85</v>
      </c>
      <c r="F25" t="n">
        <v>72</v>
      </c>
      <c r="G25" t="n">
        <v>80</v>
      </c>
    </row>
    <row r="26">
      <c r="A26" t="inlineStr">
        <is>
          <t>CreditAccess Grameen</t>
        </is>
      </c>
      <c r="B26" t="inlineStr">
        <is>
          <t>CREDITACC.NS</t>
        </is>
      </c>
      <c r="C26" t="n">
        <v>55</v>
      </c>
      <c r="D26" t="n">
        <v>60</v>
      </c>
      <c r="E26" t="n">
        <v>55</v>
      </c>
      <c r="F26" t="n">
        <v>100</v>
      </c>
      <c r="G26" t="n">
        <v>45</v>
      </c>
    </row>
    <row r="27">
      <c r="A27" t="inlineStr">
        <is>
          <t>Punjab National Bank</t>
        </is>
      </c>
      <c r="B27" t="inlineStr">
        <is>
          <t>PNB.NS</t>
        </is>
      </c>
      <c r="C27" t="n">
        <v>50</v>
      </c>
      <c r="D27" t="n">
        <v>50</v>
      </c>
      <c r="E27" t="n">
        <v>50</v>
      </c>
      <c r="F27" t="n">
        <v>0</v>
      </c>
      <c r="G27" t="n">
        <v>50</v>
      </c>
    </row>
    <row r="28">
      <c r="A28" t="inlineStr">
        <is>
          <t>Coforge</t>
        </is>
      </c>
      <c r="B28" t="inlineStr">
        <is>
          <t>COFORGE.NS</t>
        </is>
      </c>
      <c r="C28" t="n">
        <v>75</v>
      </c>
      <c r="D28" t="n">
        <v>75</v>
      </c>
      <c r="E28" t="n">
        <v>60</v>
      </c>
      <c r="F28" t="n">
        <v>100</v>
      </c>
      <c r="G28" t="n">
        <v>65</v>
      </c>
    </row>
    <row r="29">
      <c r="A29" t="inlineStr">
        <is>
          <t>Premier Energies</t>
        </is>
      </c>
      <c r="B29" t="inlineStr">
        <is>
          <t>PREMIERENE.NS</t>
        </is>
      </c>
      <c r="C29" t="n">
        <v>50</v>
      </c>
      <c r="D29" t="n">
        <v>60</v>
      </c>
      <c r="E29" t="n">
        <v>55</v>
      </c>
      <c r="F29" t="n">
        <v>100</v>
      </c>
      <c r="G29" t="n">
        <v>40</v>
      </c>
    </row>
    <row r="30">
      <c r="A30" t="inlineStr">
        <is>
          <t>Star Health and Allied Insurance Company</t>
        </is>
      </c>
      <c r="B30" t="inlineStr">
        <is>
          <t>STARHEALTH.NS</t>
        </is>
      </c>
      <c r="C30" t="n">
        <v>40</v>
      </c>
      <c r="D30" t="n">
        <v>55</v>
      </c>
      <c r="E30" t="n">
        <v>70</v>
      </c>
      <c r="F30" t="n">
        <v>0</v>
      </c>
      <c r="G30" t="n">
        <v>45</v>
      </c>
    </row>
    <row r="31">
      <c r="A31" t="inlineStr">
        <is>
          <t>Vikram Solar</t>
        </is>
      </c>
      <c r="B31" t="inlineStr">
        <is>
          <t>VIKRAMSOLR.NS</t>
        </is>
      </c>
      <c r="C31" t="n">
        <v>30</v>
      </c>
      <c r="D31" t="n">
        <v>30</v>
      </c>
      <c r="E31" t="n">
        <v>45</v>
      </c>
      <c r="F31" t="n">
        <v>100</v>
      </c>
      <c r="G31" t="n">
        <v>15</v>
      </c>
    </row>
    <row r="32">
      <c r="A32" t="inlineStr">
        <is>
          <t>SANDUMA</t>
        </is>
      </c>
      <c r="B32" t="inlineStr">
        <is>
          <t>SANDUMA.NS</t>
        </is>
      </c>
      <c r="C32" t="n">
        <v>70</v>
      </c>
      <c r="D32" t="n">
        <v>60</v>
      </c>
      <c r="E32" t="n">
        <v>50</v>
      </c>
      <c r="F32" t="n">
        <v>100</v>
      </c>
      <c r="G32" t="n">
        <v>50</v>
      </c>
    </row>
    <row r="33">
      <c r="A33" t="inlineStr">
        <is>
          <t>NMDC</t>
        </is>
      </c>
      <c r="B33" t="inlineStr">
        <is>
          <t>NMDC.NS</t>
        </is>
      </c>
      <c r="C33" t="n">
        <v>75</v>
      </c>
      <c r="D33" t="n">
        <v>55</v>
      </c>
      <c r="E33" t="n">
        <v>55</v>
      </c>
      <c r="F33" t="n">
        <v>100</v>
      </c>
      <c r="G33" t="n">
        <v>70</v>
      </c>
    </row>
    <row r="34">
      <c r="A34" t="inlineStr">
        <is>
          <t>Ashapura Minechem</t>
        </is>
      </c>
      <c r="B34" t="inlineStr">
        <is>
          <t>ASHAPURMIN.NS</t>
        </is>
      </c>
      <c r="C34" t="n">
        <v>60</v>
      </c>
      <c r="D34" t="n">
        <v>55</v>
      </c>
      <c r="E34" t="n">
        <v>45</v>
      </c>
      <c r="F34" t="n">
        <v>100</v>
      </c>
      <c r="G34" t="n">
        <v>50</v>
      </c>
    </row>
    <row r="35">
      <c r="A35" t="inlineStr">
        <is>
          <t>BLS International Services</t>
        </is>
      </c>
      <c r="B35" t="inlineStr">
        <is>
          <t>BLS.NS</t>
        </is>
      </c>
      <c r="C35" t="n">
        <v>75</v>
      </c>
      <c r="D35" t="n">
        <v>65</v>
      </c>
      <c r="E35" t="n">
        <v>65</v>
      </c>
      <c r="F35" t="n">
        <v>100</v>
      </c>
      <c r="G35" t="n">
        <v>60</v>
      </c>
    </row>
    <row r="36">
      <c r="A36" t="inlineStr">
        <is>
          <t>eClerx Services</t>
        </is>
      </c>
      <c r="B36" t="inlineStr">
        <is>
          <t>ECLERX.NS</t>
        </is>
      </c>
      <c r="C36" t="n">
        <v>75</v>
      </c>
      <c r="D36" t="n">
        <v>65</v>
      </c>
      <c r="E36" t="n">
        <v>60</v>
      </c>
      <c r="F36" t="n">
        <v>98</v>
      </c>
      <c r="G36" t="n">
        <v>65</v>
      </c>
    </row>
    <row r="37">
      <c r="A37" t="inlineStr">
        <is>
          <t>Sharda Cropchem</t>
        </is>
      </c>
      <c r="B37" t="inlineStr">
        <is>
          <t>SHARDACROP.NS</t>
        </is>
      </c>
      <c r="C37" t="n">
        <v>60</v>
      </c>
      <c r="D37" t="n">
        <v>55</v>
      </c>
      <c r="E37" t="n">
        <v>55</v>
      </c>
      <c r="F37" t="n">
        <v>100</v>
      </c>
      <c r="G3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2026-07-09T04:43:50Z</dcterms:modified>
  <cp:lastModifiedBy>jagadish p</cp:lastModifiedBy>
  <cp:revision>0</cp:revision>
</cp:coreProperties>
</file>