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deidesa\Excel-tracker_of stocks\"/>
    </mc:Choice>
  </mc:AlternateContent>
  <xr:revisionPtr revIDLastSave="0" documentId="13_ncr:1_{F5BF3BE5-5AA0-4A1F-9080-8F6408DF2368}" xr6:coauthVersionLast="47" xr6:coauthVersionMax="47" xr10:uidLastSave="{00000000-0000-0000-0000-000000000000}"/>
  <bookViews>
    <workbookView xWindow="-120" yWindow="-120" windowWidth="20730" windowHeight="11040" tabRatio="500" activeTab="1" xr2:uid="{00000000-000D-0000-FFFF-FFFF00000000}"/>
  </bookViews>
  <sheets>
    <sheet name="Dashboard" sheetId="1" r:id="rId1"/>
    <sheet name="Master Universe" sheetId="2" r:id="rId2"/>
    <sheet name="Financial Data" sheetId="3" r:id="rId3"/>
    <sheet name="Decision Journal" sheetId="4" r:id="rId4"/>
    <sheet name="Portfolio Tracker" sheetId="5" r:id="rId5"/>
    <sheet name="Event Overlay" sheetId="6" r:id="rId6"/>
    <sheet name="Quarterly Review" sheetId="7" r:id="rId7"/>
    <sheet name="Performance Analytics" sheetId="8" r:id="rId8"/>
    <sheet name="Research Queue" sheetId="9" r:id="rId9"/>
    <sheet name="Legacy Scores (Archived)" sheetId="10" r:id="rId10"/>
    <sheet name="Detailed Research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5" i="5" l="1"/>
  <c r="H15" i="5" s="1"/>
  <c r="G14" i="5"/>
  <c r="H14" i="5" s="1"/>
  <c r="G13" i="5"/>
  <c r="H13" i="5" s="1"/>
  <c r="G12" i="5"/>
  <c r="H12" i="5" s="1"/>
  <c r="G11" i="5"/>
  <c r="H11" i="5" s="1"/>
  <c r="G10" i="5"/>
  <c r="H10" i="5" s="1"/>
  <c r="G9" i="5"/>
  <c r="H9" i="5" s="1"/>
  <c r="G8" i="5"/>
  <c r="H8" i="5" s="1"/>
  <c r="G7" i="5"/>
  <c r="H7" i="5" s="1"/>
  <c r="G6" i="5"/>
  <c r="H6" i="5" s="1"/>
  <c r="G5" i="5"/>
  <c r="H5" i="5" s="1"/>
  <c r="G4" i="5"/>
  <c r="H4" i="5" s="1"/>
  <c r="G3" i="5"/>
  <c r="H3" i="5" s="1"/>
  <c r="G2" i="5"/>
  <c r="H2" i="5" s="1"/>
  <c r="AG26" i="2"/>
  <c r="AH26" i="2" s="1"/>
  <c r="AG22" i="2"/>
  <c r="AH22" i="2" s="1"/>
  <c r="AG20" i="2"/>
  <c r="AH20" i="2" s="1"/>
  <c r="AR19" i="2"/>
  <c r="AT19" i="2" s="1"/>
  <c r="AG19" i="2"/>
  <c r="AH19" i="2" s="1"/>
  <c r="AF19" i="2"/>
  <c r="AG14" i="2"/>
  <c r="AH14" i="2" s="1"/>
  <c r="L5" i="5" l="1"/>
  <c r="M5" i="5" s="1"/>
  <c r="I5" i="5"/>
  <c r="J5" i="5" s="1"/>
  <c r="L6" i="5"/>
  <c r="M6" i="5" s="1"/>
  <c r="I6" i="5"/>
  <c r="J6" i="5" s="1"/>
  <c r="L7" i="5"/>
  <c r="M7" i="5" s="1"/>
  <c r="I7" i="5"/>
  <c r="J7" i="5" s="1"/>
  <c r="L8" i="5"/>
  <c r="M8" i="5" s="1"/>
  <c r="I8" i="5"/>
  <c r="J8" i="5" s="1"/>
  <c r="L4" i="5"/>
  <c r="M4" i="5" s="1"/>
  <c r="I4" i="5"/>
  <c r="J4" i="5" s="1"/>
  <c r="L9" i="5"/>
  <c r="M9" i="5" s="1"/>
  <c r="I9" i="5"/>
  <c r="J9" i="5" s="1"/>
  <c r="L12" i="5"/>
  <c r="M12" i="5" s="1"/>
  <c r="I12" i="5"/>
  <c r="J12" i="5" s="1"/>
  <c r="L13" i="5"/>
  <c r="M13" i="5" s="1"/>
  <c r="I13" i="5"/>
  <c r="J13" i="5" s="1"/>
  <c r="L14" i="5"/>
  <c r="M14" i="5" s="1"/>
  <c r="I14" i="5"/>
  <c r="J14" i="5" s="1"/>
  <c r="L10" i="5"/>
  <c r="M10" i="5" s="1"/>
  <c r="I10" i="5"/>
  <c r="J10" i="5" s="1"/>
  <c r="L11" i="5"/>
  <c r="M11" i="5" s="1"/>
  <c r="I11" i="5"/>
  <c r="J11" i="5" s="1"/>
  <c r="L2" i="5"/>
  <c r="M2" i="5" s="1"/>
  <c r="I2" i="5"/>
  <c r="J2" i="5" s="1"/>
  <c r="L3" i="5"/>
  <c r="M3" i="5" s="1"/>
  <c r="I3" i="5"/>
  <c r="J3" i="5" s="1"/>
  <c r="L15" i="5"/>
  <c r="M15" i="5" s="1"/>
  <c r="I15" i="5"/>
  <c r="J15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I1" authorId="0" shapeId="0" xr:uid="{00000000-0006-0000-0100-000001000000}">
      <text>
        <r>
          <rPr>
            <sz val="11"/>
            <color theme="1"/>
            <rFont val="Calibri"/>
            <family val="2"/>
            <charset val="1"/>
          </rPr>
          <t>AUTO-SCORE (v1, quantitative-only): Business Score = 35%xROE(cap35) + 20%xROCE(cap35) + 25%xGrowth(EPS if present else Revenue, cap25) + 20%x(1-Debt/Equity, cap at D/E=1). Investment Score = Business Score x valuation multiplier, where multiplier = MAX(0.5, MIN(1.3, 1.5 - 0.5xPEGY[or PEG if PEGY missing])) -- i.e. PEGY=1.0 (fair value) gives no adjustment, PEGY&lt;1 gives a bonus up to 1.3x, PEGY&gt;2 floors at 0.5x. NOTE: Capital Allocation / Management / Moat / Growth / Risk Scores (cols Z-AD) are still blank for every company, so this formula does NOT yet incorporate qualitative judgment -- it is a quantitative starting point, not a replacement for your own scoring once those columns are filled.</t>
        </r>
      </text>
    </comment>
  </commentList>
</comments>
</file>

<file path=xl/sharedStrings.xml><?xml version="1.0" encoding="utf-8"?>
<sst xmlns="http://schemas.openxmlformats.org/spreadsheetml/2006/main" count="1838" uniqueCount="668">
  <si>
    <t>S.No</t>
  </si>
  <si>
    <t>Company</t>
  </si>
  <si>
    <t>Ticker</t>
  </si>
  <si>
    <t>Sector</t>
  </si>
  <si>
    <t>Industry</t>
  </si>
  <si>
    <t>Market Cap</t>
  </si>
  <si>
    <t>IOS Stage</t>
  </si>
  <si>
    <t>Evidence Gate</t>
  </si>
  <si>
    <t>Business Score</t>
  </si>
  <si>
    <t>Investment Score</t>
  </si>
  <si>
    <t>Data Confidence (%)</t>
  </si>
  <si>
    <t>Business Confidence (%)</t>
  </si>
  <si>
    <t>Research Priority</t>
  </si>
  <si>
    <t>Event Overlay</t>
  </si>
  <si>
    <t>Business Quality Notes</t>
  </si>
  <si>
    <t>Valuation (P/E)</t>
  </si>
  <si>
    <t>PEG</t>
  </si>
  <si>
    <t>PEGY</t>
  </si>
  <si>
    <t>EV/EBIT</t>
  </si>
  <si>
    <t>ROE %</t>
  </si>
  <si>
    <t>ROCE %</t>
  </si>
  <si>
    <t>Debt/Equity</t>
  </si>
  <si>
    <t>FCF Yield %</t>
  </si>
  <si>
    <t>Revenue Growth %</t>
  </si>
  <si>
    <t>EPS Growth %</t>
  </si>
  <si>
    <t>Decision Journal</t>
  </si>
  <si>
    <t>Last Reviewed</t>
  </si>
  <si>
    <t>Next Review</t>
  </si>
  <si>
    <t>Buy Price</t>
  </si>
  <si>
    <t>Current Price</t>
  </si>
  <si>
    <t>Intrinsic Value</t>
  </si>
  <si>
    <t>Margin of Safety %</t>
  </si>
  <si>
    <t>Target Allocation %</t>
  </si>
  <si>
    <t>Position Size (₹)</t>
  </si>
  <si>
    <t>Status</t>
  </si>
  <si>
    <t>Catalyst</t>
  </si>
  <si>
    <t>Thesis Maturity</t>
  </si>
  <si>
    <t>Remarks</t>
  </si>
  <si>
    <t>Investment Thesis</t>
  </si>
  <si>
    <t>Key Risks</t>
  </si>
  <si>
    <t>Valuation Summary</t>
  </si>
  <si>
    <t>Upgrade/Downgrade Trigger</t>
  </si>
  <si>
    <t>Sources Verified</t>
  </si>
  <si>
    <t>EPS Implied (Rs, Price/PE)</t>
  </si>
  <si>
    <t>Growth Rate Used %</t>
  </si>
  <si>
    <t>Justified P/E</t>
  </si>
  <si>
    <t>Dividend Yield</t>
  </si>
  <si>
    <t>Beta</t>
  </si>
  <si>
    <t>P/E</t>
  </si>
  <si>
    <t>P/B</t>
  </si>
  <si>
    <t>Investment Confidence (%)</t>
  </si>
  <si>
    <t>Risk Score (Engine)</t>
  </si>
  <si>
    <t>Risk Confidence (%)</t>
  </si>
  <si>
    <t>Portfolio Weight</t>
  </si>
  <si>
    <t>Valuation Status</t>
  </si>
  <si>
    <t>Overall Recommendation</t>
  </si>
  <si>
    <t>Valuation Label</t>
  </si>
  <si>
    <t>Score Status</t>
  </si>
  <si>
    <t>Computer Age Management Services (CAMS)</t>
  </si>
  <si>
    <t>CAMS.NS</t>
  </si>
  <si>
    <t>Technology</t>
  </si>
  <si>
    <t>Information Technology Services</t>
  </si>
  <si>
    <t>Core</t>
  </si>
  <si>
    <t>Pass</t>
  </si>
  <si>
    <t>Low - thesis proven, maintenance only</t>
  </si>
  <si>
    <t>None</t>
  </si>
  <si>
    <t>Dominant mutual fund RTA | Debt/Equity ~0.05 (near-zero net cash).</t>
  </si>
  <si>
    <t>Complete</t>
  </si>
  <si>
    <t>Jul-2026</t>
  </si>
  <si>
    <t>Oct-2026</t>
  </si>
  <si>
    <t>Market leadership</t>
  </si>
  <si>
    <t>Validated</t>
  </si>
  <si>
    <t>See structured fields (Thesis / Risks / Valuation / Trigger / Sources) for detail.</t>
  </si>
  <si>
    <t>Dominant RTA franchise (~65% mutual-fund AUM market share moat); high-margin, asset-light business compounding with AUM growth.</t>
  </si>
  <si>
    <t>Regulatory/SEBI fee-structure changes; AUM-linked revenue exposed to market downturns.</t>
  </si>
  <si>
    <t>P/E ~40x (near 10yr median); ROCE ~53-60%; ROE ~20-25%; net cash (~Rs.885M debt vs ~Rs.6.8B cash); gross margin ~65%, op margin ~40%.</t>
  </si>
  <si>
    <t>Core holding, already promoted. Downgrade trigger: AUM market-share loss or regulatory fee cap.</t>
  </si>
  <si>
    <t>Screener/GuruFocus aggregation, Jul-2026.</t>
  </si>
  <si>
    <t>OK</t>
  </si>
  <si>
    <t>Watch (Quality, Pricey)</t>
  </si>
  <si>
    <t>Significantly Overvalued</t>
  </si>
  <si>
    <t>Scored</t>
  </si>
  <si>
    <t>Tata Consultancy Services</t>
  </si>
  <si>
    <t>TCS.NS</t>
  </si>
  <si>
    <t>Low - maintenance, USFDA/deal-win monitoring</t>
  </si>
  <si>
    <t>High FCF and zero debt</t>
  </si>
  <si>
    <t>AI &amp; digital</t>
  </si>
  <si>
    <t>Largest Indian IT services franchise; AI-services growth narrative; deep valuation discount vs peers.</t>
  </si>
  <si>
    <t>ROE/ROCE not independently re-verified this session (pending); global IT spending slowdown; stock down ~55% off ATH signals sentiment risk.</t>
  </si>
  <si>
    <t>P/E ~18.6x vs Coforge ~36-38x; trading ~Rs.2,050-2,100 vs Aug-2024 ATH Rs.4,592.</t>
  </si>
  <si>
    <t>Verify current ROE/ROCE from primary source.</t>
  </si>
  <si>
    <t>Session verification, Jul-2026 (ROE/ROCE pending).</t>
  </si>
  <si>
    <t>Strong Buy</t>
  </si>
  <si>
    <t>Undervalued</t>
  </si>
  <si>
    <t>Lupin</t>
  </si>
  <si>
    <t>LUPIN.NS</t>
  </si>
  <si>
    <t>Healthcare</t>
  </si>
  <si>
    <t>Drug Manufacturers - Specialty &amp; Generic</t>
  </si>
  <si>
    <t>Low - minor pipeline monitoring</t>
  </si>
  <si>
    <t>Turnaround</t>
  </si>
  <si>
    <t>USFDA compliance</t>
  </si>
  <si>
    <t>Established</t>
  </si>
  <si>
    <t>Pharma turnaround story; margin expansion from product mix-shift; strengthening balance sheet.</t>
  </si>
  <si>
    <t>ROE/P/E figure sourced from unverified ML screen; mix-shift durability unconfirmed.</t>
  </si>
  <si>
    <t>ROCE 28.4%; revenue growth 23% (FY26); Q4 FY26 gross margin 75% (up from 61.7% YoY); net cash ~Rs.4,600cr.</t>
  </si>
  <si>
    <t>Confirm ROE/P/E against primary source (currently ML-screen only).</t>
  </si>
  <si>
    <t>FY26 results search this session, Jul-2026; ROE/P/E via ML Alpha screen (unverified).</t>
  </si>
  <si>
    <t>Nesco</t>
  </si>
  <si>
    <t>NESCO.NS</t>
  </si>
  <si>
    <t>Industrials</t>
  </si>
  <si>
    <t>Conglomerates</t>
  </si>
  <si>
    <t>Low - stable annuity economics</t>
  </si>
  <si>
    <t>Asset-backed cash flow</t>
  </si>
  <si>
    <t>Occupancy</t>
  </si>
  <si>
    <t>Zero-debt commercial real estate/exhibition-center operator; high-margin annuity-like business.</t>
  </si>
  <si>
    <t>Current P/E, ROE, revenue growth not independently pulled - re-rating risk unassessed.</t>
  </si>
  <si>
    <t>ROCE ~20-22%; operating margins ~60%; zero debt.</t>
  </si>
  <si>
    <t>Pull current P/E/ROE/revenue growth from primary source.</t>
  </si>
  <si>
    <t>Multiple sources this session, Jul-2026 (P/E/ROE/growth pending).</t>
  </si>
  <si>
    <t>Avoid</t>
  </si>
  <si>
    <t>Persistent Systems</t>
  </si>
  <si>
    <t>PERSISTENT.NS</t>
  </si>
  <si>
    <t>Bench</t>
  </si>
  <si>
    <t>Low - thesis proven, monitor Nagarro integration</t>
  </si>
  <si>
    <t>Active</t>
  </si>
  <si>
    <t>IT services, US$1bn+ revenue, active M&amp;A strategy</t>
  </si>
  <si>
    <t>Pending</t>
  </si>
  <si>
    <t>Integration</t>
  </si>
  <si>
    <t>Developing</t>
  </si>
  <si>
    <t>IT services + Nagarro-style digital engineering growth compounder; historically high ROCE.</t>
  </si>
  <si>
    <t>Nagarro acquisition integration risk - do not score until integration clarity.</t>
  </si>
  <si>
    <t>P/E 38.7x; 3yr ROE 25.4%; net debt-free; ROCE ~20% and rising (exact current figure pending); 10yr median sales growth 19.6%.</t>
  </si>
  <si>
    <t>Nagarro integration clarity before scoring.</t>
  </si>
  <si>
    <t>Verified 2026-07 (Tijori + others).</t>
  </si>
  <si>
    <t>RR Kabel</t>
  </si>
  <si>
    <t>RRKABEL.NS</t>
  </si>
  <si>
    <t>Electrical Equipment &amp; Parts</t>
  </si>
  <si>
    <t>Research</t>
  </si>
  <si>
    <t>Medium - confirm FY27 EPS growth guidance (~11%)</t>
  </si>
  <si>
    <t>Cables &amp; FMEG manufacturer; strong brand, electrification tailwind</t>
  </si>
  <si>
    <t>Not started</t>
  </si>
  <si>
    <t>Watch</t>
  </si>
  <si>
    <t>Early</t>
  </si>
  <si>
    <t>Wire &amp; cable manufacturer; strong ROE/ROCE; zero long-term debt; no promoter pledge.</t>
  </si>
  <si>
    <t>Richly valued relative to own history (downgraded Fair-from-Attractive Oct-2025); recent all-time-high raises valuation-discipline concern.</t>
  </si>
  <si>
    <t>P/E ~46x (peer median ~50x); ROE 19.7%; ROCE 20.47% avg; PEG 0.74; net D/E 0.08; 5yr rev CAGR 15.1%, TTM growth 28%.</t>
  </si>
  <si>
    <t>Valuation-discipline check before promotion (Business Confidence pending).</t>
  </si>
  <si>
    <t>Verified 2026-07.</t>
  </si>
  <si>
    <t>Extreme Premium</t>
  </si>
  <si>
    <t>Cummins India</t>
  </si>
  <si>
    <t>CUMMINSIND.NS</t>
  </si>
  <si>
    <t>Specialty Industrial Machinery</t>
  </si>
  <si>
    <t>Low - monitor quarterly, high valuation</t>
  </si>
  <si>
    <t>Diesel/alt-fuel engines &amp; gensets; 51% Cummins Inc-backed, near debt-free, high-ROCE compounder</t>
  </si>
  <si>
    <t>Diesel/alt-fuel engines &amp; gensets; 51% Cummins Inc-backed; high-ROCE compounder.</t>
  </si>
  <si>
    <t>Valuation re-rated hard (+95% 1yr) - entry discipline needed; PEG likely expensive given re-rating.</t>
  </si>
  <si>
    <t>P/E 64.3x; ROCE 36.3%; ROE 28.2% (3yr 26.3%); near debt-free; 5yr sales growth 15%, TTM 13%; 5yr profit CAGR 22% (3yr 35%).</t>
  </si>
  <si>
    <t>Entry-price discipline check before promotion; DC/BC not yet scored.</t>
  </si>
  <si>
    <t>Verified 2026-07 (Screener).</t>
  </si>
  <si>
    <t>MTAR Technologies</t>
  </si>
  <si>
    <t>MTARTECH.NS</t>
  </si>
  <si>
    <t>Fail</t>
  </si>
  <si>
    <t>Low - high valuation, weak ROE/ROCE vs threshold</t>
  </si>
  <si>
    <t>Precision components: nuclear, space, defense, clean energy</t>
  </si>
  <si>
    <t>Jan-2027</t>
  </si>
  <si>
    <t>AI/defense/clean-energy narrative stock.</t>
  </si>
  <si>
    <t>Client concentration (Bloom Energy exposure); valuation entirely narrative-driven, not supported by returns.</t>
  </si>
  <si>
    <t>P/E ~190-258x (peer median ~34x); ROE only 7.26%; ROCE only 11.16% - both fail 20% threshold.</t>
  </si>
  <si>
    <t>N/A - excluded outright, fails core profitability gate.</t>
  </si>
  <si>
    <t>Aegis Logistics</t>
  </si>
  <si>
    <t>AEGISLOG.NS</t>
  </si>
  <si>
    <t>Energy</t>
  </si>
  <si>
    <t>Oil &amp; Gas Refining &amp; Marketing</t>
  </si>
  <si>
    <t>Conflict</t>
  </si>
  <si>
    <t>Blocked - resolve ROCE conflict (24.93% vs 15.37%) before scoring</t>
  </si>
  <si>
    <t>LPG/gas logistics &amp; storage; infrastructure-like moat</t>
  </si>
  <si>
    <t>Sep-2026</t>
  </si>
  <si>
    <t>Research (Blocked)</t>
  </si>
  <si>
    <t>Logistics/energy-storage business with historically strong ROCE claims.</t>
  </si>
  <si>
    <t>ROCE conflict unresolved (24.93% vs 15.37% across sources); revenue deceleration (-0.1% FY25 vs 5yr CAGR 28.2%); WACC 12.42% vs ROIC ~10.34% (one source implies value destruction).</t>
  </si>
  <si>
    <t>ROE 20.43%; D/E 0.10 (above sector avg 0.03); P/E ~39x vs peer median ~23x.</t>
  </si>
  <si>
    <t>Resolve ROCE conflict via primary source before scoring.</t>
  </si>
  <si>
    <t>moneyworks4me, GuruFocus, other tracker (conflicting), Jul-2026.</t>
  </si>
  <si>
    <t>Neuland Laboratories</t>
  </si>
  <si>
    <t>NEULANDLAB.NS</t>
  </si>
  <si>
    <t>Monitor - working capital / FCF trend</t>
  </si>
  <si>
    <t>API/CDMO pharma manufacturer</t>
  </si>
  <si>
    <t>Pharma API/CDMO manufacturer; strong revenue growth and margins.</t>
  </si>
  <si>
    <t>Negative FCF (-Rs.49.4cr) from working-capital build; Tijori flags WC dragging ROCE/ROE; promoter holding declining (-3.5% 3yr); company self-warns of 'irregular earnings patterns.'</t>
  </si>
  <si>
    <t>P/E 64-95x (conflicting, unresolved); FY26 revenue +37%; Q4 EBITDA margin 40.5%.</t>
  </si>
  <si>
    <t>Resolve P/E conflict via Screener; follow up on working-capital and promoter-selling trend.</t>
  </si>
  <si>
    <t>Verified 2026-07 (conflicting across sources).</t>
  </si>
  <si>
    <t>Elecon Engineering</t>
  </si>
  <si>
    <t>ELECON.NS</t>
  </si>
  <si>
    <t>Monitor - order-book/execution recovery after Q4 FY26 miss</t>
  </si>
  <si>
    <t>Industrial gears/material handling equipment</t>
  </si>
  <si>
    <t>Industrial gear/power-transmission manufacturer; net cash position.</t>
  </si>
  <si>
    <t>ROE below 20% IOS threshold; stock down -17.9% 52wk despite decent fundamentals.</t>
  </si>
  <si>
    <t>P/E 35.2x; ROE 15.85%; ROIC 18.21%; D/E 0.12; net cash.</t>
  </si>
  <si>
    <t>ROE needs to clear 20% threshold to qualify as core-quality candidate.</t>
  </si>
  <si>
    <t>State Bank of India</t>
  </si>
  <si>
    <t>SBIN.NS</t>
  </si>
  <si>
    <t>Financial Services</t>
  </si>
  <si>
    <t>Banks - Regional</t>
  </si>
  <si>
    <t>Medium - standard quarterly monitoring (bank; ROCE/D-E not standard metrics)</t>
  </si>
  <si>
    <t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</si>
  <si>
    <t>Largest PSU bank by assets; strong profit growth; cheap valuation.</t>
  </si>
  <si>
    <t>Bank-specific yardstick applied (ROE&gt;15%, not 20% threshold) - judgment call on cross-comparability; ROCE/D-E not meaningful for banks.</t>
  </si>
  <si>
    <t>FY26 net profit Rs.80,032cr (+12.88% YoY); ROA 1.12%; ROE 18.57%; P/E ~11.6x; advances +16.87% YoY; deposits +11.03% YoY.</t>
  </si>
  <si>
    <t>DC/BC not yet formally scored - first-pass research only.</t>
  </si>
  <si>
    <t>Verified 2026-07 (GuruFocus).</t>
  </si>
  <si>
    <t>Missing EV/EBIT (EBIT &lt;= 0)</t>
  </si>
  <si>
    <t>Fair Value</t>
  </si>
  <si>
    <t>Titan Company</t>
  </si>
  <si>
    <t>TITAN.NS</t>
  </si>
  <si>
    <t>Consumer Cyclical</t>
  </si>
  <si>
    <t>Luxury Goods</t>
  </si>
  <si>
    <t>Blocked - resolve ROCE conflict (20-21% vs 37.37%) and D/E conflict (0 vs 1.56)</t>
  </si>
  <si>
    <t>Jewellery/watches/eyewear lifestyle major, Tata Group</t>
  </si>
  <si>
    <t>Dominant jewelry/watches consumer franchise; strong headline ROE.</t>
  </si>
  <si>
    <t>ROCE conflict (20-21% vs 37.37% across sources); D/E conflict (0 vs 1.56, likely Ind AS 116 lease treatment); Piotroski F-Score only 2/9 despite headline quality - notable red flag; P/E 76.5x vs industry median 21.6x, very rich.</t>
  </si>
  <si>
    <t>ROE 28.7-37.7% (range, all periods strong).</t>
  </si>
  <si>
    <t>Resolve ROCE and D/E conflicts before scoring.</t>
  </si>
  <si>
    <t>Verified 2026-07 (multiple, conflicting).</t>
  </si>
  <si>
    <t>Tech Mahindra</t>
  </si>
  <si>
    <t>TECHM.NS</t>
  </si>
  <si>
    <t>Low - weak 5yr growth (8.5%), payout exceeds EPS</t>
  </si>
  <si>
    <t>IT services subsidiary of Mahindra Group; telecom-heavy client mix</t>
  </si>
  <si>
    <t>IT services subsidiary of Mahindra Group.</t>
  </si>
  <si>
    <t>ROE well below 20% threshold; weak 5yr sales growth (8.46%); dividend payout 112% exceeds earnings.</t>
  </si>
  <si>
    <t>P/E ~25.3x; 3yr ROE 13.3%.</t>
  </si>
  <si>
    <t>N/A - excluded, no differentiated catalyst vs TCS.</t>
  </si>
  <si>
    <t>Verified 2026-07 (Screener/GuruFocus).</t>
  </si>
  <si>
    <t>Larsen &amp; Toubro</t>
  </si>
  <si>
    <t>LT.NS</t>
  </si>
  <si>
    <t>Engineering &amp; Construction</t>
  </si>
  <si>
    <t>Blocked - need segment-level D/E excluding financial-services arm</t>
  </si>
  <si>
    <t>Diversified EPC conglomerate: infra, hydrocarbon, defence, IT, financial services</t>
  </si>
  <si>
    <t>Diversified EPC conglomerate (infra, hydrocarbon, defence, IT, financial services).</t>
  </si>
  <si>
    <t>ROE/ROCE both below 20% threshold; D/E elevated (1.12-1.41) but distorted by NBFC arm - needs segment-level resolution; net debt rising sharply.</t>
  </si>
  <si>
    <t>P/E ~33.8x; ROE ~14.7-15%; ROCE ~17.85%.</t>
  </si>
  <si>
    <t>Segment-level D/E excluding financial-services arm needed before scoring.</t>
  </si>
  <si>
    <t>Verified 2026-07 (Tijori/Screener).</t>
  </si>
  <si>
    <t>Avalon Technologies</t>
  </si>
  <si>
    <t>AVALON.NS</t>
  </si>
  <si>
    <t>Electronic Components</t>
  </si>
  <si>
    <t>Low priority - structural Fail (ROE/ROCE below threshold), revisit only if fundamentals improve</t>
  </si>
  <si>
    <t>EMS/electronics manufacturing, PCB to box-build</t>
  </si>
  <si>
    <t>Research (Low priority)</t>
  </si>
  <si>
    <t>EMS (electronics manufacturing services) upcycle narrative stock.</t>
  </si>
  <si>
    <t>ROE/ROCE fail 20% threshold by wide margin; P/E swung 76x-134x on pure re-rating (+118% 1yr) - narrative priced in well ahead of fundamentals.</t>
  </si>
  <si>
    <t>ROE ~9-11% (3yr); ROCE avg 12.4%.</t>
  </si>
  <si>
    <t>N/A - excluded, same pattern as MTAR.</t>
  </si>
  <si>
    <t>CG Power and Industrial Solutions</t>
  </si>
  <si>
    <t>CGPOWER.NS</t>
  </si>
  <si>
    <t>Monitor - rich valuation vs order backlog growth</t>
  </si>
  <si>
    <t>Electrical equipment, electrification/industrial capex play</t>
  </si>
  <si>
    <t>Power equipment 'supercycle' narrative stock.</t>
  </si>
  <si>
    <t>ROCE flagged as decreasing even without significant capex (unexplained); extreme valuation.</t>
  </si>
  <si>
    <t>P/E ~121x (~200% premium to peer median ~40x); P/B ~18x vs peer median ~4.6x.</t>
  </si>
  <si>
    <t>N/A - excluded, priced for flawless multi-year supercycle with no margin for error.</t>
  </si>
  <si>
    <t>Session check, Jul-2026.</t>
  </si>
  <si>
    <t>Tejas Networks</t>
  </si>
  <si>
    <t>TEJASNET.NS</t>
  </si>
  <si>
    <t>Communication Equipment</t>
  </si>
  <si>
    <t>Monitor - loss-making, order lumpiness (BSNL contracts)</t>
  </si>
  <si>
    <t>Wireline/wireless telecom equipment; Tata Group (Panatone Finvest) promoted</t>
  </si>
  <si>
    <t>N/A (loss-making)</t>
  </si>
  <si>
    <t>Research (Weak)</t>
  </si>
  <si>
    <t>Telecom equipment manufacturer, Tata-promoted.</t>
  </si>
  <si>
    <t>FY26 net loss ~Rs.909cr; revenue collapse 88-90% YoY; negative ROE/ROCE; Debt/EBITDA ~7.94x while loss-making.</t>
  </si>
  <si>
    <t>N/A - loss-making, no meaningful P/E.</t>
  </si>
  <si>
    <t>N/A - excluded, capital destruction in progress.</t>
  </si>
  <si>
    <t>Invalid Inputs | Missing EV/EBIT (EBIT &lt;= 0)</t>
  </si>
  <si>
    <t>Confirmed Weak Fundamentals</t>
  </si>
  <si>
    <t>ACME Solar Holdings</t>
  </si>
  <si>
    <t>ACMESOLAR.NS</t>
  </si>
  <si>
    <t>Utilities</t>
  </si>
  <si>
    <t>Utilities - Renewable</t>
  </si>
  <si>
    <t>Monitor - ROE/ROCE below 20% threshold despite strong topline growth</t>
  </si>
  <si>
    <t>Solar/wind/hybrid/FDRE + BESS developer-operator; PPA-based revenue</t>
  </si>
  <si>
    <t>Solar/wind/hybrid/FDRE + BESS developer; strong revenue growth.</t>
  </si>
  <si>
    <t>ROE/ROCE well below 20% threshold; interest coverage thin (~1.15x); policy-dependent, capital-intensive profile (same as Premier Energies).</t>
  </si>
  <si>
    <t>ROE ~7.6-10.6%; ROCE ~2.7-8.4%; D/E ~0.5-0.86; P/E ~26-90x (date-dependent).</t>
  </si>
  <si>
    <t>N/A - exclude/monitor only, fails core profitability gate.</t>
  </si>
  <si>
    <t>Verified 2026-07 (MarketsMojo/Screener).</t>
  </si>
  <si>
    <t>Atul Auto</t>
  </si>
  <si>
    <t>ATULAUTO.NS</t>
  </si>
  <si>
    <t>Auto Manufacturers</t>
  </si>
  <si>
    <t>Low priority - ROE well below threshold, near-flat revenue CAGR</t>
  </si>
  <si>
    <t>Three-wheeler (auto rickshaw) manufacturer, Gujarat-based, ~4% domestic market share</t>
  </si>
  <si>
    <t>Three-wheeler manufacturer, Gujarat-based.</t>
  </si>
  <si>
    <t>ROE only 5.72% (3yr); rich valuation on weak returns; revenue CAGR near-flat.</t>
  </si>
  <si>
    <t>P/E ~26-44x.</t>
  </si>
  <si>
    <t>N/A - excluded, narrow moat, weak capital efficiency.</t>
  </si>
  <si>
    <t>Verified 2026-07 (Screener/MoneyWorks4Me).</t>
  </si>
  <si>
    <t>Overvalued</t>
  </si>
  <si>
    <t>Mahindra Holidays &amp; Resorts India</t>
  </si>
  <si>
    <t>MHRIL.NS</t>
  </si>
  <si>
    <t>Resorts &amp; Casinos</t>
  </si>
  <si>
    <t>Monitor - Altman Z-score 0.83 (weakest of peers), Q4 profit fell 43% on impairment</t>
  </si>
  <si>
    <t>Vacation-ownership (Club Mahindra) + Holiday Club Resorts (Nordic/EU); Mahindra Group subsidiary</t>
  </si>
  <si>
    <t>Vacation-ownership (Club Mahindra) + Holiday Club Resorts (Nordic/EU).</t>
  </si>
  <si>
    <t>Q4 FY26 profit -43.1% YoY (Mauritius impairment + soft EU); ROCE decreasing; Altman Z-score only 0.83 (weakest of 8 peers) - financial-stability red flag.</t>
  </si>
  <si>
    <t>P/E ~62.7x (98% premium to peer median).</t>
  </si>
  <si>
    <t>Resolve Altman Z / balance-sheet-strength concern before any scoring.</t>
  </si>
  <si>
    <t>Verified 2026-07 (Screener/Tijori/Groww).</t>
  </si>
  <si>
    <t>Power Finance Corporation</t>
  </si>
  <si>
    <t>PFC.NS</t>
  </si>
  <si>
    <t>Credit Services</t>
  </si>
  <si>
    <t>Blocked - PFC-REC merger integration pending, do not score standalone metrics</t>
  </si>
  <si>
    <t>PFC-REC merger (board-approved 28-Jun-2026, 88:100 swap)</t>
  </si>
  <si>
    <t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</si>
  <si>
    <t>Research (Blocked - Merger)</t>
  </si>
  <si>
    <t>Corporate action</t>
  </si>
  <si>
    <t>Maharatna PSU infra-finance NBFC lending to power-sector utilities.</t>
  </si>
  <si>
    <t>PFC-REC merger (approved 28-Jun-2026) creates integration/dilution uncertainty; State DISCOM loan-book concentration.</t>
  </si>
  <si>
    <t>ROE ~19.49%; P/E ~5.6-7.3x (deep discount to peer avg ~17-18x); dividend yield ~5%.</t>
  </si>
  <si>
    <t>Merger integration must clear before scoring stabilizes.</t>
  </si>
  <si>
    <t>Verified 2026-07 (MarketsMojo/GuruFocus).</t>
  </si>
  <si>
    <t>ITC</t>
  </si>
  <si>
    <t>ITC.NS</t>
  </si>
  <si>
    <t>Consumer Defensive</t>
  </si>
  <si>
    <t>Tobacco</t>
  </si>
  <si>
    <t>Monitor - Q4 FY26 profit fell 73% YoY on base effect, use FY figure for trend</t>
  </si>
  <si>
    <t>Dominant cigarettes + FMCG (25+ brands) + paperboards/agri conglomerate; hotels demerged Jan-2025</t>
  </si>
  <si>
    <t>Mature</t>
  </si>
  <si>
    <t>Dominant cigarettes + FMCG + paperboards/agri conglomerate.</t>
  </si>
  <si>
    <t>5yr sales growth only 9.87% (poor) - cigarette-volume dependency, FMCG-Others scaling slowly; ongoing restructuring (Sresta/Wimco amalgamation) to watch.</t>
  </si>
  <si>
    <t>3yr ROE 35.2%; P/E ~17.6-19x; dividend yield ~5%; near debt-free; payout 74.5%.</t>
  </si>
  <si>
    <t>Growth-catalyst check needed before promotion.</t>
  </si>
  <si>
    <t>Eicher Motors</t>
  </si>
  <si>
    <t>EICHERMOT.NS</t>
  </si>
  <si>
    <t>Monitor - rich valuation, EV portfolio gap flagged by analysts</t>
  </si>
  <si>
    <t>Royal Enfield (global leader, mid-weight motorcycles) + VECV JV with AB Volvo (trucks/buses)</t>
  </si>
  <si>
    <t>Royal Enfield (global mid-weight motorcycle leader) + VECV JV with AB Volvo.</t>
  </si>
  <si>
    <t>Valuation stretched (P/E ~38-41x, 'somewhat overvalued' per MoneyWorks4Me); P/B ~8-9.6x.</t>
  </si>
  <si>
    <t>Current ROE ~24%; near debt-free; revenue CAGR ~15.6% (vs ~13.4% industry median).</t>
  </si>
  <si>
    <t>Same valuation-discipline check as RR Kabel before promotion.</t>
  </si>
  <si>
    <t>Verified 2026-07 (Screener/MoneyWorks4Me/Wisesheets).</t>
  </si>
  <si>
    <t>Hold</t>
  </si>
  <si>
    <t>CreditAccess Grameen</t>
  </si>
  <si>
    <t>CREDITACC.NS</t>
  </si>
  <si>
    <t>Active - confirm ROE/ROA recovery holds 2 more quarters vs FY27 guidance (16-20%)</t>
  </si>
  <si>
    <t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</si>
  <si>
    <t>Research (Recovery watch)</t>
  </si>
  <si>
    <t>India's largest MFI (Grameen Koota); diversifying into retail/individual/two-wheeler lending.</t>
  </si>
  <si>
    <t>Trailing 3yr ROE only 13.8% (below threshold) after FY26 MFI-sector stress (Karnataka delinquencies).</t>
  </si>
  <si>
    <t>FY26 full-year ROA 2.7%/ROE 10.7%; Q4 FY26 recovered to ROA 4.4%/ROE 17.8%; GNPA improved to 3.17%; P/E ~41.9x. FY27 guidance ROE 16-20%.</t>
  </si>
  <si>
    <t>Needs 1-2 more quarters of recovery confirmation vs guidance.</t>
  </si>
  <si>
    <t>Verified 2026-07 (Screener/company guidance/MOFSL).</t>
  </si>
  <si>
    <t>Punjab National Bank</t>
  </si>
  <si>
    <t>PNB.NS</t>
  </si>
  <si>
    <t>Low - PSU bank, improving but sub-scale vs SBI</t>
  </si>
  <si>
    <t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</si>
  <si>
    <t>India's 2nd-largest PSU bank; post-NPA-cycle turnaround story.</t>
  </si>
  <si>
    <t>ROE below SBI's and below 20% (non-bank) threshold; 5yr sales growth poor (9.8%).</t>
  </si>
  <si>
    <t>ROE ~14.9%; ROA ~0.9-1.1%; P/E ~7.3-8x (cheap).</t>
  </si>
  <si>
    <t>N/A - excluded vs SBI as better-quality PSU-bank exposure.</t>
  </si>
  <si>
    <t>Verified 2026-07 (Screener/GuruFocus/Univest).</t>
  </si>
  <si>
    <t>Uncertain - Partial Data</t>
  </si>
  <si>
    <t>Coforge</t>
  </si>
  <si>
    <t>COFORGE.NS</t>
  </si>
  <si>
    <t>Deferred</t>
  </si>
  <si>
    <t>High - resolvable via post-Encora quarterly filings</t>
  </si>
  <si>
    <t>Cigniti Technologies amalgamation (completed)</t>
  </si>
  <si>
    <t>IT services, post-Encora acquisition integration phase</t>
  </si>
  <si>
    <t>IT services + Encora acquisition-led growth.</t>
  </si>
  <si>
    <t>Thesis Health Score revised down 83-&gt;71/100; Encora funded via ~20% equity dilution (Rs.17,032cr QIP) plus debt roughly tripling; PE-sponsor (Advent/Warburg) stake-sale overhang; same IT theme as TCS - cannot hold both under one-theme-per-core-slot rule.</t>
  </si>
  <si>
    <t>P/E ~36-38x vs TCS ~18.6x (~2x premium).</t>
  </si>
  <si>
    <t>2 consecutive quarters of post-Encora integration proof, debt reduction, EPS accretion validated.</t>
  </si>
  <si>
    <t>Session review (multiple).</t>
  </si>
  <si>
    <t>Premier Energies</t>
  </si>
  <si>
    <t>PREMIERENE.NS</t>
  </si>
  <si>
    <t>Solar</t>
  </si>
  <si>
    <t>Medium - structural (policy) + resolvable (FCF checkpoint) mixed gap</t>
  </si>
  <si>
    <t>Solar cell/module manufacturing, capacity expansion phase</t>
  </si>
  <si>
    <t>Deferred (Policy-dependent)</t>
  </si>
  <si>
    <t>Solar module/cell manufacturer; high ROE; policy-tailwind (ALMM/PLI) beneficiary.</t>
  </si>
  <si>
    <t>D/E ~0.86 fails &lt;0.3 threshold; FCF currently negative (~-Rs.17.4bn) from heavy capex; policy-dependent (structural, permanent risk tag).</t>
  </si>
  <si>
    <t>PEG ~1.06 (passes); ROE ~42% (strong).</t>
  </si>
  <si>
    <t>FCF-to-positive checkpoint, review quarterly.</t>
  </si>
  <si>
    <t>Session review.</t>
  </si>
  <si>
    <t>Star Health and Allied Insurance Company</t>
  </si>
  <si>
    <t>STARHEALTH.NS</t>
  </si>
  <si>
    <t>Insurance - Life</t>
  </si>
  <si>
    <t>High - resolvable via next 1-2 quarters underwriting data</t>
  </si>
  <si>
    <t>Standalone health insurer, retail-focused</t>
  </si>
  <si>
    <t>Deferred (Weak ROE)</t>
  </si>
  <si>
    <t>Health insurer; underwriting profitability recovering.</t>
  </si>
  <si>
    <t>Retail claim settlement ratio only 92% (not 99%, which was actually renewal ratio - correction needed); solvency ratio (214%) not independently verified; durability vs medical inflation (12-13% expected 2026) and pending commission regulation untested.</t>
  </si>
  <si>
    <t>Combined ratio 98.9% (Q3 FY26, improved from 102.1% YoY); renewal ratio 99%; loss/incurred claim ratio improved 71.8%-&gt;68.8%.</t>
  </si>
  <si>
    <t>Awaiting 1-2 more quarters before candidate-pool promotion.</t>
  </si>
  <si>
    <t>Session review; Business Confidence = Moderate.</t>
  </si>
  <si>
    <t>Vikram Solar</t>
  </si>
  <si>
    <t>VIKRAMSOLR.NS</t>
  </si>
  <si>
    <t>Blocked - understand NCLAT set-aside (29-Jun-2026) and reconcile D/E before further work</t>
  </si>
  <si>
    <t>NCLAT set aside NCLT Kolkata insolvency admission (29-Jun-2026)</t>
  </si>
  <si>
    <t>Solar PV module manufacturer + EPC/O&amp;M; large order book (10.3GW, 2x FY25 capacity)</t>
  </si>
  <si>
    <t>Aug-2026</t>
  </si>
  <si>
    <t>Deferred (Blocked - legal)</t>
  </si>
  <si>
    <t>Solar PV module manufacturer + EPC/O&amp;M; large order book (10.3GW).</t>
  </si>
  <si>
    <t>MAJOR: NCLT insolvency case (set aside by NCLAT 29-Jun-2026, root cause unverified); D/E conflict (1.81x vs implied lower post-paydown); previously flagged as 'story over evidence' lapse.</t>
  </si>
  <si>
    <t>P/E ~16.5x (cheap, 42% discount to peer median); ROE improved to 19.67% (2024) from 4.05% (2023); revenue CAGR 17-28.5%; Altman Z-score 3.87.</t>
  </si>
  <si>
    <t>Insolvency matter fully understood AND D/E reconciled to primary filing before promotion out of Conflict.</t>
  </si>
  <si>
    <t>Verified 2026-07 (Screener/Tijori/ValueResearch/wwipl).</t>
  </si>
  <si>
    <t>SANDUMA</t>
  </si>
  <si>
    <t>SANDUMA.NS</t>
  </si>
  <si>
    <t>Basic Materials</t>
  </si>
  <si>
    <t>Steel</t>
  </si>
  <si>
    <t>ML Screen</t>
  </si>
  <si>
    <t>Monitor - cyclical commodity, capacity expansion approved</t>
  </si>
  <si>
    <t>Metals &amp; Mining (iron ore)</t>
  </si>
  <si>
    <t>N/A - excluded on cyclicality principle.</t>
  </si>
  <si>
    <t>ML Alpha screen only, unverified against primary source; commodity-price-driven earnings.</t>
  </si>
  <si>
    <t>Not independently verified.</t>
  </si>
  <si>
    <t>N/A - excluded, doesn't fit quality-compounder bucket regardless of screen score.</t>
  </si>
  <si>
    <t>ML Alpha screen only (unverified).</t>
  </si>
  <si>
    <t>NMDC</t>
  </si>
  <si>
    <t>NMDC.NS</t>
  </si>
  <si>
    <t>Monitor - PSU miner, iron ore price sensitive</t>
  </si>
  <si>
    <t>Iron ore mining, PSU</t>
  </si>
  <si>
    <t>Cyclical commodity business, earnings swing with iron ore prices.</t>
  </si>
  <si>
    <t>P/E 10.2; ROE 23.4% (ML Alpha screen, statistically attractive but not IOS-fit).</t>
  </si>
  <si>
    <t>N/A - excluded early in session.</t>
  </si>
  <si>
    <t>ML Alpha screen (unverified vs primary).</t>
  </si>
  <si>
    <t>Ashapura Minechem</t>
  </si>
  <si>
    <t>ASHAPURMIN.NS</t>
  </si>
  <si>
    <t>Other Industrial Metals &amp; Mining</t>
  </si>
  <si>
    <t>Monitor - FY26 revenue nearly doubled, net debt declining</t>
  </si>
  <si>
    <t>Metals &amp; Mining (bentonite/bauxite)</t>
  </si>
  <si>
    <t>ML Alpha screen only, unverified against primary source.</t>
  </si>
  <si>
    <t>N/A - excluded, same cyclicality principle as NMDC/SANDUMA.</t>
  </si>
  <si>
    <t>BLS International Services</t>
  </si>
  <si>
    <t>BLS.NS</t>
  </si>
  <si>
    <t>Specialty Business Services</t>
  </si>
  <si>
    <t>Active - confirm FY27 govt contract renewal terms</t>
  </si>
  <si>
    <t>Visa/govt-outsourcing services</t>
  </si>
  <si>
    <t>ML Screen (Active)</t>
  </si>
  <si>
    <t>Visa/consular outsourcing services provider.</t>
  </si>
  <si>
    <t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</si>
  <si>
    <t>ML screen: P/E 15.3, ROE 32.7%, F-Score 8 (looks clean on screen).</t>
  </si>
  <si>
    <t>FY27 contract renewals confirmed and valuation reset before promotion.</t>
  </si>
  <si>
    <t>ML screen + deeper session research (conflicting).</t>
  </si>
  <si>
    <t>eClerx Services</t>
  </si>
  <si>
    <t>ECLERX.NS</t>
  </si>
  <si>
    <t>Monitor - ROCE-decline explanation, profit-quality check needed</t>
  </si>
  <si>
    <t>BPM/analytics, IT-adjacent services</t>
  </si>
  <si>
    <t>KPO/analytics services provider.</t>
  </si>
  <si>
    <t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</si>
  <si>
    <t>ML screen: P/E 19.4, ROE 29%, F-Score 8.</t>
  </si>
  <si>
    <t>Resolve ROCE-decline explanation; document IT-theme exception before promotion.</t>
  </si>
  <si>
    <t>ML screen + Tijori (session review).</t>
  </si>
  <si>
    <t>Sharda Cropchem</t>
  </si>
  <si>
    <t>SHARDACROP.NS</t>
  </si>
  <si>
    <t>Agricultural Inputs</t>
  </si>
  <si>
    <t>Data Hold</t>
  </si>
  <si>
    <t>Blocked - reconcile FY26 revenue/PAT vs BSE filing and ROE-basis conflict before proceeding</t>
  </si>
  <si>
    <t>Asset-light agrochemical registration/distribution platform, not a manufacturer</t>
  </si>
  <si>
    <t>Before further work</t>
  </si>
  <si>
    <t>FY26 Reconciliation</t>
  </si>
  <si>
    <t>Unresolved</t>
  </si>
  <si>
    <t>Agrochemical (generic crop-protection) exporter.</t>
  </si>
  <si>
    <t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</si>
  <si>
    <t>Not usable until conflicts resolved.</t>
  </si>
  <si>
    <t>Confirm FY26 revenue/profit directly against Sharda's BSE filing before any scoring.</t>
  </si>
  <si>
    <t>Screener vs ML screen (conflicting); Data Confidence gate not passed.</t>
  </si>
  <si>
    <t>Sterlite Technologies</t>
  </si>
  <si>
    <t>STLTECH.NS</t>
  </si>
  <si>
    <t>Garware Hi-Tech Films</t>
  </si>
  <si>
    <t>GRWRHITECH.NS</t>
  </si>
  <si>
    <t>Specialty Chemicals</t>
  </si>
  <si>
    <t>Cupid</t>
  </si>
  <si>
    <t>CUPID.NS</t>
  </si>
  <si>
    <t>Household &amp; Personal Products</t>
  </si>
  <si>
    <t>Rubicon Research</t>
  </si>
  <si>
    <t>RUBICON.NS</t>
  </si>
  <si>
    <t>Drug Manufacturers - General</t>
  </si>
  <si>
    <t>Sun Pharma Adv. Research</t>
  </si>
  <si>
    <t>SPARC.NS</t>
  </si>
  <si>
    <t>Thangamayil Jewellery</t>
  </si>
  <si>
    <t>THANGAMAYL.NS</t>
  </si>
  <si>
    <t>Park Medi World</t>
  </si>
  <si>
    <t>PARKHOSPS.NS</t>
  </si>
  <si>
    <t>Medical Care Facilities</t>
  </si>
  <si>
    <t>Paras Defence</t>
  </si>
  <si>
    <t>PARAS.NS</t>
  </si>
  <si>
    <t>Aerospace &amp; Defense</t>
  </si>
  <si>
    <t>Sansera Engineering</t>
  </si>
  <si>
    <t>SANSERA.NS</t>
  </si>
  <si>
    <t>Auto Parts</t>
  </si>
  <si>
    <t>Atlanta Electricals</t>
  </si>
  <si>
    <t>ATLANTAELE.NS</t>
  </si>
  <si>
    <t>Shilpa Medicare</t>
  </si>
  <si>
    <t>SHILPAMED.NS</t>
  </si>
  <si>
    <t>Balaji Amines</t>
  </si>
  <si>
    <t>BALAMINES.NS</t>
  </si>
  <si>
    <t>Astra Microwave Products</t>
  </si>
  <si>
    <t>ASTRAMICRO.NS</t>
  </si>
  <si>
    <t>Metric</t>
  </si>
  <si>
    <t>Value</t>
  </si>
  <si>
    <t>Portfolio Name</t>
  </si>
  <si>
    <t>IOS v3.1</t>
  </si>
  <si>
    <t>As of Date</t>
  </si>
  <si>
    <t>July 2026 Baseline</t>
  </si>
  <si>
    <t>Total Universe</t>
  </si>
  <si>
    <t>Core Holdings</t>
  </si>
  <si>
    <t>Cash Allocation Target</t>
  </si>
  <si>
    <t>20%</t>
  </si>
  <si>
    <t>Review Frequency</t>
  </si>
  <si>
    <t>Quarterly</t>
  </si>
  <si>
    <t>Total Portfolio Value (Rs)</t>
  </si>
  <si>
    <t>Required Margin of Safety (%)</t>
  </si>
  <si>
    <t>Default Growth Rate if Missing (%)</t>
  </si>
  <si>
    <t>Cost of Equity Ke (%)</t>
  </si>
  <si>
    <t>India 10Y G-Sec Yield Ref (%)</t>
  </si>
  <si>
    <t>Valuation Model</t>
  </si>
  <si>
    <t>Justified P/E (ROE-based): PE = (1 - g/ROE) x 100/(Ke-g); IV = Implied EPS x Justified PE</t>
  </si>
  <si>
    <t>Note</t>
  </si>
  <si>
    <t>Current Price values are manual snapshots entered in Master Universe - refresh periodically, not live-linked</t>
  </si>
  <si>
    <t>Quarter</t>
  </si>
  <si>
    <t>Revenue</t>
  </si>
  <si>
    <t>EBITDA</t>
  </si>
  <si>
    <t>EBITDA Margin %</t>
  </si>
  <si>
    <t>Net Profit</t>
  </si>
  <si>
    <t>EPS</t>
  </si>
  <si>
    <t>Operating Cash Flow</t>
  </si>
  <si>
    <t>Free Cash Flow</t>
  </si>
  <si>
    <t>ROA %</t>
  </si>
  <si>
    <t>Interest Coverage</t>
  </si>
  <si>
    <t>Current Ratio</t>
  </si>
  <si>
    <t>Dividend Yield %</t>
  </si>
  <si>
    <t>Notes</t>
  </si>
  <si>
    <t>FY26</t>
  </si>
  <si>
    <t>Verified 2026-07: FY26 revenue growth 23%, ROCE 28.4%, EBITDA margin +~590bps. Q4 gross margin 75% vs 61.7% YoY - specialty/complex-generics mix shift, not one-off pricing. Net cash ~₹4,600cr. Source: company FY26 results coverage, this session.</t>
  </si>
  <si>
    <t>Populate from annual report</t>
  </si>
  <si>
    <t>FY26 TTM</t>
  </si>
  <si>
    <t>Source: Screener.in consolidated, Jul-2026. TTM figures; FY26 annual not yet fully reported at fetch time.</t>
  </si>
  <si>
    <t>Source: SBI FY26 results coverage (Groww), GuruFocus, Jul-2026. Net profit +12.88% YoY. Revenue figure needs reconciliation - screener meta showed Rs.5,14,933cr which may be a different period/consolidated basis than the Rs.80,032cr profit figure.</t>
  </si>
  <si>
    <t>Source: Screener.in consolidated, Jul-2026. 5yr sales growth only 8.46% (poor per screener). Payout ratio 112% exceeds EPS.</t>
  </si>
  <si>
    <t>Source: Tijori Finance, Jun-2026. D/E elevated due to consolidated NBFC/financial-services arm - not a clean EPC-only leverage read. Net debt rising Rs.84,314cr (Mar-25) -&gt; Rs.1,11,926cr (Sep-25).</t>
  </si>
  <si>
    <t>Source: Screener.in, MarketsMojo, Jul-2026. Revenue collapsed 88-90% YoY in multiple FY26 quarters; net loss vs FY25 profit of Rs.446cr. Debt/EBITDA ~7.94x.</t>
  </si>
  <si>
    <t>Source: Tickertape/MarketsMojo, Jul-2026. Interest coverage thin (~1.15x). ROE/ROCE well below IOS 20% threshold despite strong topline growth.</t>
  </si>
  <si>
    <t>Source: Screener.in/MoneyWorks4Me, Jul-2026. Revenue CAGR near-flat (0.65-2.86%). ROE well below IOS threshold.</t>
  </si>
  <si>
    <t>Mahindra Holidays</t>
  </si>
  <si>
    <t>Q4 FY26</t>
  </si>
  <si>
    <t>Source: Groww/Tijori, Jul-2026. Q4 net profit fell 43.1% YoY on Mauritius impairment (~Rs.234cr) and soft EU (Holiday Club) performance. Altman Z-score only 0.83 - weakest of 8 peers.</t>
  </si>
  <si>
    <t>Source: MarketsMojo/GuruFocus, Jul-2026. PFC-REC merger approved 28-Jun-2026 (88 PFC : 100 REC swap ratio) - pending integration, revisit all figures post-merger.</t>
  </si>
  <si>
    <t>Source: Tickertape/Screener, Jul-2026. FY26 sales +4.77% YoY; note Q4 FY26 NP fell 73% YoY on exceptional items - use full-year figure for trend, not single quarter.</t>
  </si>
  <si>
    <t>Source: Screener.in, Jul-2026. Near debt-free; revenue CAGR ~15.6% vs ~13.4% industry median. Valuation rich (P/B ~8-9.6x).</t>
  </si>
  <si>
    <t>Source: ICICI Direct/company guidance, Jul-2026. GNPA improved to 3.17% (60dpd). Q4 FY26 alone recovered to ROA 4.4%/ROE 17.8% - FY27 guidance ROE 16-20%. Trailing 3yr ROE only 13.8% (below threshold) - needs 1-2 more quarters to confirm recovery.</t>
  </si>
  <si>
    <t>Source: Screener.in/GuruFocus, Jul-2026. Net profit figure per screener meta (TTM basis) differs from FY25 Rs.18,553cr cited elsewhere - reconcile against BSE filing before using precisely. GNPA improved toward 4-5% post-2018-20 NPA cycle.</t>
  </si>
  <si>
    <t>Decision Date</t>
  </si>
  <si>
    <t>Analyst</t>
  </si>
  <si>
    <t>Variant Perception</t>
  </si>
  <si>
    <t>Supporting Evidence</t>
  </si>
  <si>
    <t>Disconfirming Evidence</t>
  </si>
  <si>
    <t>Exit Conditions</t>
  </si>
  <si>
    <t>Review Date</t>
  </si>
  <si>
    <t>Outcome</t>
  </si>
  <si>
    <t>Lessons Learned</t>
  </si>
  <si>
    <t>CAMS</t>
  </si>
  <si>
    <t>User</t>
  </si>
  <si>
    <t>Dominant RTA with strong cash generation</t>
  </si>
  <si>
    <t>Market underestimates durability</t>
  </si>
  <si>
    <t>High market share</t>
  </si>
  <si>
    <t>Loss of market share</t>
  </si>
  <si>
    <t>Regulation</t>
  </si>
  <si>
    <t>IOS score deterioration</t>
  </si>
  <si>
    <t>Buy Date</t>
  </si>
  <si>
    <t>Quantity</t>
  </si>
  <si>
    <t>Investment Amount</t>
  </si>
  <si>
    <t>Current Value</t>
  </si>
  <si>
    <t>Unrealized P/L</t>
  </si>
  <si>
    <t>Return %</t>
  </si>
  <si>
    <t>Actual Allocation %</t>
  </si>
  <si>
    <t>Rebalance Required</t>
  </si>
  <si>
    <t>Computer Age Management Services</t>
  </si>
  <si>
    <t>TCS</t>
  </si>
  <si>
    <t>LUPIN</t>
  </si>
  <si>
    <t>NESCO</t>
  </si>
  <si>
    <t>Event Type</t>
  </si>
  <si>
    <t>Announcement Date</t>
  </si>
  <si>
    <t>Severity</t>
  </si>
  <si>
    <t>Description</t>
  </si>
  <si>
    <t>Impact on IOS</t>
  </si>
  <si>
    <t>Review Required</t>
  </si>
  <si>
    <t>Resolution Date</t>
  </si>
  <si>
    <t>Comments</t>
  </si>
  <si>
    <t>Acquisition</t>
  </si>
  <si>
    <t>Jun-2026</t>
  </si>
  <si>
    <t>High</t>
  </si>
  <si>
    <t>Nagarro acquisition</t>
  </si>
  <si>
    <t>Investment score review</t>
  </si>
  <si>
    <t>Yes</t>
  </si>
  <si>
    <t>Open</t>
  </si>
  <si>
    <t>Monitor leverage</t>
  </si>
  <si>
    <t>Merger</t>
  </si>
  <si>
    <t>Board approved merger by absorption of REC into PFC (swap ratio 88 PFC : 100 REC)</t>
  </si>
  <si>
    <t>Do not score until combined-entity balance sheet and dilution are clear</t>
  </si>
  <si>
    <t>Confidence (±)</t>
  </si>
  <si>
    <t>Changes Since Last Review</t>
  </si>
  <si>
    <t>Promotion/Demotion Decision</t>
  </si>
  <si>
    <t>Reviewer</t>
  </si>
  <si>
    <t>Q2 FY27</t>
  </si>
  <si>
    <t>±7</t>
  </si>
  <si>
    <t>Event overlay active</t>
  </si>
  <si>
    <t>Hold Bench</t>
  </si>
  <si>
    <t>Benchmark</t>
  </si>
  <si>
    <t>Difference</t>
  </si>
  <si>
    <t>CAGR</t>
  </si>
  <si>
    <t>Nifty 50</t>
  </si>
  <si>
    <t>Sharpe Ratio</t>
  </si>
  <si>
    <t>Sortino Ratio</t>
  </si>
  <si>
    <t>Max Drawdown</t>
  </si>
  <si>
    <t>Alpha</t>
  </si>
  <si>
    <t>Promotion Success Rate</t>
  </si>
  <si>
    <t>Demotion Success Rate</t>
  </si>
  <si>
    <t>Rank</t>
  </si>
  <si>
    <t>Gap Type</t>
  </si>
  <si>
    <t>Due Date</t>
  </si>
  <si>
    <t>Resolvable</t>
  </si>
  <si>
    <t>Q1 FY27 underwriting results - combined ratio persistence</t>
  </si>
  <si>
    <t>Next earnings</t>
  </si>
  <si>
    <t>Also confirm solvency ratio (214% claimed, unverified) directly against IRDAI filing</t>
  </si>
  <si>
    <t>First 1-2 post-Encora quarters - margin, debt paydown, EPS accretion</t>
  </si>
  <si>
    <t>Do not promote over TCS until 2 consecutive Thesis Health Scores &gt;80</t>
  </si>
  <si>
    <t>Data Confidence (blocking)</t>
  </si>
  <si>
    <t>Reconcile FY26 revenue/PAT figures against BSE filing directly</t>
  </si>
  <si>
    <t>Blocked</t>
  </si>
  <si>
    <t>Two unresolved data conflicts (ROE basis + FY26 headline financials) - do not proceed to qualitative review until resolved</t>
  </si>
  <si>
    <t>Mixed (Structural + Resolvable)</t>
  </si>
  <si>
    <t>FCF turning positive post-capex cycle</t>
  </si>
  <si>
    <t>Policy dependency (ALMM/PLI) is permanent - do not let a good FCF quarter erase that discount</t>
  </si>
  <si>
    <t>Resolve ROCE conflict (24.93% vs 15.37%) against primary source</t>
  </si>
  <si>
    <t>Before scoring</t>
  </si>
  <si>
    <t>Revenue growth also decelerating (-0.1% FY25 vs 5yr CAGR 28.2%) - check if trend continues</t>
  </si>
  <si>
    <t>Structural (currently Fail)</t>
  </si>
  <si>
    <t>ROE/ROCE improvement needed, not just narrative</t>
  </si>
  <si>
    <t>Low priority</t>
  </si>
  <si>
    <t>ROE ~9-11%, ROCE ~12.4% - well below threshold; re-check only if fundamentals materially change</t>
  </si>
  <si>
    <t>Structural + Data Confidence</t>
  </si>
  <si>
    <t>ROCE-decline explanation; profit-quality (depreciation policy, receivables) check</t>
  </si>
  <si>
    <t>Monitor</t>
  </si>
  <si>
    <t>Theme overlaps with TCS (IT) - would need explicit exception if ever promoted</t>
  </si>
  <si>
    <t>FY27 government contract renewal confirmation</t>
  </si>
  <si>
    <t>Management self-disclosed renewal uncertainty and guided growth deceleration</t>
  </si>
  <si>
    <t>Resolve ROCE conflict (20-21% vs 37.37%) and D/E conflict (0 vs 1.56)</t>
  </si>
  <si>
    <t>Also check Piotroski F-Score of 2 (Below Average) despite strong headline ROE - needs explanation</t>
  </si>
  <si>
    <t>Working capital trend and FCF (currently negative)</t>
  </si>
  <si>
    <t>Promoter holding declining -3.5% over 3yrs - watch for continuation</t>
  </si>
  <si>
    <t>Structural (Corporate Action)</t>
  </si>
  <si>
    <t>PFC-REC merger integration - combined balance sheet, dilution, ROE impact</t>
  </si>
  <si>
    <t>Merger board-approved 28-Jun-2026; do not treat standalone PFC metrics as forward-representative</t>
  </si>
  <si>
    <t>Confirm ROE/ROA recovery holds for 2 more quarters vs FY27 guidance (ROE 16-20%)</t>
  </si>
  <si>
    <t>Q4 FY26 already shows sharp recovery (ROE 17.8%) after Karnataka-driven MFI stress</t>
  </si>
  <si>
    <t>Segment-level D/E excluding financial-services arm to get a clean EPC leverage read</t>
  </si>
  <si>
    <t>Consolidated D/E of 1.12-1.41x is not comparable to pure-EPC peers without segmental split</t>
  </si>
  <si>
    <t>Resolve Altman Z-score of 0.83 (weakest of peers) and ROCE-decline trend</t>
  </si>
  <si>
    <t>Q4 FY26 profit fell 43.1% YoY on Mauritius impairment - check if one-off or recurring</t>
  </si>
  <si>
    <t>Understand NCLT insolvency admission / NCLAT set-aside (29-Jun-2026) and reconcile D/E (1.81x vs implied lower post FY25 debt paydown)</t>
  </si>
  <si>
    <t>Do not treat NCLAT set-aside as risk-resolved; understand root cause before any scoring</t>
  </si>
  <si>
    <t>Capital Allocation Score</t>
  </si>
  <si>
    <t>Management Score</t>
  </si>
  <si>
    <t>Moat Score</t>
  </si>
  <si>
    <t>Growth Score</t>
  </si>
  <si>
    <t>Risk Score</t>
  </si>
  <si>
    <t>Archived manual/heuristic scores drafted early in this project, before the ios_v4 automated engine existed. Superseded by Business Score, Investment Score, and Risk Score (Engine) in Master Universe. Kept here for historical reference only - do not use for current decisions.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</si>
</sst>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11"/>
      <color rgb="FF000000"/>
      <name val="Calibri"/>
      <charset val="1"/>
    </font>
    <font>
      <sz val="11"/>
      <color rgb="FF0000FF"/>
      <name val="Calibri"/>
      <charset val="1"/>
    </font>
    <font>
      <i/>
      <sz val="10"/>
      <color rgb="FF808080"/>
      <name val="Calibri"/>
      <charset val="1"/>
    </font>
    <font>
      <b/>
      <sz val="11"/>
      <name val="Cambria"/>
      <charset val="1"/>
    </font>
    <font>
      <b/>
      <sz val="11"/>
      <color rgb="FF1F4E78"/>
      <name val="Cambria"/>
      <charset val="1"/>
    </font>
    <font>
      <sz val="11"/>
      <color rgb="FF006100"/>
      <name val="Calibri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4" tint="0.39997558519241921"/>
        <bgColor rgb="FFCCCCFF"/>
      </patternFill>
    </fill>
    <fill>
      <patternFill patternType="solid">
        <fgColor theme="4" tint="0.39997558519241921"/>
        <bgColor rgb="FF9999FF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164" fontId="0" fillId="0" borderId="0" xfId="0" applyNumberFormat="1"/>
    <xf numFmtId="3" fontId="0" fillId="0" borderId="0" xfId="0" applyNumberFormat="1"/>
    <xf numFmtId="164" fontId="2" fillId="0" borderId="0" xfId="0" applyNumberFormat="1" applyFont="1"/>
    <xf numFmtId="3" fontId="2" fillId="0" borderId="0" xfId="0" applyNumberFormat="1" applyFont="1"/>
    <xf numFmtId="165" fontId="2" fillId="0" borderId="0" xfId="0" applyNumberFormat="1" applyFont="1"/>
    <xf numFmtId="0" fontId="5" fillId="0" borderId="0" xfId="0" applyFont="1"/>
    <xf numFmtId="0" fontId="5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B3A2C7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5" customWidth="1"/>
  </cols>
  <sheetData>
    <row r="1" spans="1:2" ht="15" customHeight="1" x14ac:dyDescent="0.25">
      <c r="A1" s="1" t="s">
        <v>499</v>
      </c>
      <c r="B1" s="1" t="s">
        <v>500</v>
      </c>
    </row>
    <row r="2" spans="1:2" ht="15" customHeight="1" x14ac:dyDescent="0.25">
      <c r="A2" t="s">
        <v>501</v>
      </c>
      <c r="B2" t="s">
        <v>502</v>
      </c>
    </row>
    <row r="3" spans="1:2" ht="15" customHeight="1" x14ac:dyDescent="0.25">
      <c r="A3" t="s">
        <v>503</v>
      </c>
      <c r="B3" t="s">
        <v>504</v>
      </c>
    </row>
    <row r="4" spans="1:2" ht="15" customHeight="1" x14ac:dyDescent="0.25">
      <c r="A4" t="s">
        <v>505</v>
      </c>
      <c r="B4">
        <v>35</v>
      </c>
    </row>
    <row r="5" spans="1:2" ht="15" customHeight="1" x14ac:dyDescent="0.25">
      <c r="A5" t="s">
        <v>506</v>
      </c>
      <c r="B5">
        <v>4</v>
      </c>
    </row>
    <row r="6" spans="1:2" ht="15" customHeight="1" x14ac:dyDescent="0.25">
      <c r="A6" t="s">
        <v>122</v>
      </c>
      <c r="B6">
        <v>1</v>
      </c>
    </row>
    <row r="7" spans="1:2" ht="15" customHeight="1" x14ac:dyDescent="0.25">
      <c r="A7" t="s">
        <v>137</v>
      </c>
      <c r="B7">
        <v>26</v>
      </c>
    </row>
    <row r="8" spans="1:2" ht="15" customHeight="1" x14ac:dyDescent="0.25">
      <c r="A8" t="s">
        <v>363</v>
      </c>
      <c r="B8">
        <v>4</v>
      </c>
    </row>
    <row r="9" spans="1:2" ht="15" customHeight="1" x14ac:dyDescent="0.25">
      <c r="A9" t="s">
        <v>507</v>
      </c>
      <c r="B9" t="s">
        <v>508</v>
      </c>
    </row>
    <row r="10" spans="1:2" ht="15" customHeight="1" x14ac:dyDescent="0.25">
      <c r="A10" t="s">
        <v>509</v>
      </c>
      <c r="B10" t="s">
        <v>510</v>
      </c>
    </row>
    <row r="11" spans="1:2" ht="15" customHeight="1" x14ac:dyDescent="0.25">
      <c r="A11" s="2" t="s">
        <v>511</v>
      </c>
      <c r="B11" s="3">
        <v>70000</v>
      </c>
    </row>
    <row r="12" spans="1:2" ht="15" customHeight="1" x14ac:dyDescent="0.25">
      <c r="A12" s="2" t="s">
        <v>512</v>
      </c>
      <c r="B12" s="3">
        <v>25</v>
      </c>
    </row>
    <row r="13" spans="1:2" ht="15" customHeight="1" x14ac:dyDescent="0.25">
      <c r="A13" s="2" t="s">
        <v>513</v>
      </c>
      <c r="B13" s="3">
        <v>8</v>
      </c>
    </row>
    <row r="14" spans="1:2" ht="15" customHeight="1" x14ac:dyDescent="0.25">
      <c r="A14" s="2" t="s">
        <v>514</v>
      </c>
      <c r="B14" s="3">
        <v>13</v>
      </c>
    </row>
    <row r="15" spans="1:2" ht="15" customHeight="1" x14ac:dyDescent="0.25">
      <c r="A15" s="2" t="s">
        <v>515</v>
      </c>
      <c r="B15" s="3">
        <v>6.7</v>
      </c>
    </row>
    <row r="16" spans="1:2" ht="15" customHeight="1" x14ac:dyDescent="0.25">
      <c r="A16" s="2" t="s">
        <v>516</v>
      </c>
      <c r="B16" s="4" t="s">
        <v>517</v>
      </c>
    </row>
    <row r="17" spans="1:2" ht="15" customHeight="1" x14ac:dyDescent="0.25">
      <c r="A17" s="2" t="s">
        <v>518</v>
      </c>
      <c r="B17" s="4" t="s">
        <v>519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50"/>
  <sheetViews>
    <sheetView tabSelected="1" zoomScaleNormal="100" workbookViewId="0">
      <pane ySplit="1" topLeftCell="A33" activePane="bottomLeft" state="frozen"/>
      <selection activeCell="F1" sqref="F1"/>
      <selection pane="bottomLeft" activeCell="B43" sqref="B43"/>
    </sheetView>
  </sheetViews>
  <sheetFormatPr defaultColWidth="8.7109375" defaultRowHeight="15" x14ac:dyDescent="0.25"/>
  <cols>
    <col min="1" max="1" width="15" style="22" customWidth="1"/>
    <col min="2" max="2" width="53.7109375" style="22" customWidth="1"/>
    <col min="3" max="3" width="15" style="22" customWidth="1"/>
    <col min="4" max="4" width="25.85546875" style="22" customWidth="1"/>
    <col min="5" max="7" width="15" style="22" customWidth="1"/>
    <col min="8" max="8" width="16" style="22" customWidth="1"/>
    <col min="9" max="9" width="17" style="22" customWidth="1"/>
    <col min="10" max="10" width="19" style="22" customWidth="1"/>
    <col min="11" max="11" width="17" style="22" customWidth="1"/>
    <col min="12" max="12" width="16" style="22" customWidth="1"/>
    <col min="13" max="13" width="25" style="22" customWidth="1"/>
    <col min="14" max="14" width="18" style="22" customWidth="1"/>
    <col min="15" max="15" width="255.7109375" style="22" hidden="1" customWidth="1"/>
    <col min="16" max="21" width="15" style="22" customWidth="1"/>
    <col min="22" max="22" width="19" style="22" customWidth="1"/>
    <col min="23" max="23" width="15" style="22" customWidth="1"/>
    <col min="24" max="24" width="27" style="22" customWidth="1"/>
    <col min="25" max="25" width="19" style="22" customWidth="1"/>
    <col min="26" max="27" width="15" style="22" hidden="1" customWidth="1"/>
    <col min="28" max="28" width="16" style="22" customWidth="1"/>
    <col min="29" max="29" width="18" style="22" customWidth="1"/>
    <col min="30" max="30" width="21" style="22" customWidth="1"/>
    <col min="31" max="31" width="22" style="22" customWidth="1"/>
    <col min="32" max="32" width="20" style="22" customWidth="1"/>
    <col min="33" max="34" width="15" style="22" customWidth="1"/>
    <col min="35" max="35" width="18" style="22" customWidth="1"/>
    <col min="36" max="36" width="18.28515625" style="22" customWidth="1"/>
    <col min="37" max="37" width="17" style="22" customWidth="1"/>
    <col min="38" max="38" width="70.7109375" style="22" hidden="1" customWidth="1"/>
    <col min="39" max="39" width="125" style="22" hidden="1" customWidth="1"/>
    <col min="40" max="40" width="255.7109375" style="22" hidden="1" customWidth="1"/>
    <col min="41" max="41" width="133.28515625" style="22" hidden="1" customWidth="1"/>
    <col min="42" max="42" width="113.7109375" style="22" hidden="1" customWidth="1"/>
    <col min="43" max="43" width="76.7109375" style="22" hidden="1" customWidth="1"/>
    <col min="44" max="44" width="21.85546875" style="22" customWidth="1"/>
    <col min="45" max="45" width="16" style="22" customWidth="1"/>
    <col min="46" max="46" width="12" style="22" customWidth="1"/>
    <col min="47" max="54" width="8.7109375" style="22"/>
    <col min="55" max="55" width="50.85546875" style="22" customWidth="1"/>
    <col min="56" max="56" width="31.42578125" style="22" customWidth="1"/>
    <col min="57" max="58" width="13" style="22" hidden="1" customWidth="1"/>
    <col min="59" max="59" width="23" style="22" bestFit="1" customWidth="1"/>
    <col min="60" max="60" width="21.28515625" style="22" customWidth="1"/>
    <col min="61" max="16384" width="8.7109375" style="22"/>
  </cols>
  <sheetData>
    <row r="1" spans="1:60" ht="15" customHeight="1" x14ac:dyDescent="0.2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26</v>
      </c>
      <c r="AB1" s="17" t="s">
        <v>27</v>
      </c>
      <c r="AC1" s="17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8" t="s">
        <v>38</v>
      </c>
      <c r="AN1" s="18" t="s">
        <v>39</v>
      </c>
      <c r="AO1" s="18" t="s">
        <v>40</v>
      </c>
      <c r="AP1" s="18" t="s">
        <v>41</v>
      </c>
      <c r="AQ1" s="18" t="s">
        <v>42</v>
      </c>
      <c r="AR1" s="19" t="s">
        <v>43</v>
      </c>
      <c r="AS1" s="19" t="s">
        <v>44</v>
      </c>
      <c r="AT1" s="20" t="s">
        <v>45</v>
      </c>
      <c r="AU1" s="20" t="s">
        <v>46</v>
      </c>
      <c r="AV1" s="20" t="s">
        <v>47</v>
      </c>
      <c r="AW1" s="20" t="s">
        <v>48</v>
      </c>
      <c r="AX1" s="20" t="s">
        <v>49</v>
      </c>
      <c r="AY1" s="20" t="s">
        <v>50</v>
      </c>
      <c r="AZ1" s="20" t="s">
        <v>51</v>
      </c>
      <c r="BA1" s="20" t="s">
        <v>52</v>
      </c>
      <c r="BB1" s="20" t="s">
        <v>53</v>
      </c>
      <c r="BC1" s="20" t="s">
        <v>54</v>
      </c>
      <c r="BD1" s="20" t="s">
        <v>55</v>
      </c>
      <c r="BE1" s="20"/>
      <c r="BF1" s="20"/>
      <c r="BG1" s="21" t="s">
        <v>56</v>
      </c>
      <c r="BH1" s="21" t="s">
        <v>57</v>
      </c>
    </row>
    <row r="2" spans="1:60" ht="15" customHeight="1" x14ac:dyDescent="0.25">
      <c r="A2" s="5">
        <v>1</v>
      </c>
      <c r="B2" s="5" t="s">
        <v>58</v>
      </c>
      <c r="C2" s="5" t="s">
        <v>59</v>
      </c>
      <c r="D2" s="5" t="s">
        <v>60</v>
      </c>
      <c r="E2" s="5" t="s">
        <v>61</v>
      </c>
      <c r="F2" s="5">
        <v>192284213248</v>
      </c>
      <c r="G2" s="5" t="s">
        <v>62</v>
      </c>
      <c r="H2" s="5" t="s">
        <v>63</v>
      </c>
      <c r="I2" s="5">
        <v>97</v>
      </c>
      <c r="J2" s="5">
        <v>46.141770549252797</v>
      </c>
      <c r="K2" s="5">
        <v>97</v>
      </c>
      <c r="L2" s="5">
        <v>100</v>
      </c>
      <c r="M2" s="5" t="s">
        <v>64</v>
      </c>
      <c r="N2" s="5" t="s">
        <v>65</v>
      </c>
      <c r="O2" s="5" t="s">
        <v>66</v>
      </c>
      <c r="P2" s="5">
        <v>40</v>
      </c>
      <c r="Q2" s="5">
        <v>2</v>
      </c>
      <c r="R2" s="5">
        <v>1.85</v>
      </c>
      <c r="S2" s="5">
        <v>32.547181516919458</v>
      </c>
      <c r="T2" s="5">
        <v>36.031699340567201</v>
      </c>
      <c r="U2" s="5">
        <v>41.205615280213102</v>
      </c>
      <c r="V2" s="5">
        <v>0.05</v>
      </c>
      <c r="W2" s="5">
        <v>2.3013570589858241</v>
      </c>
      <c r="X2" s="5">
        <v>16</v>
      </c>
      <c r="Y2" s="5">
        <v>20</v>
      </c>
      <c r="Z2" s="5" t="s">
        <v>67</v>
      </c>
      <c r="AA2" s="5" t="s">
        <v>68</v>
      </c>
      <c r="AB2" s="5" t="s">
        <v>69</v>
      </c>
      <c r="AC2" s="6">
        <v>409.66231697618701</v>
      </c>
      <c r="AD2" s="7">
        <v>752</v>
      </c>
      <c r="AE2" s="6">
        <v>512.07789622023301</v>
      </c>
      <c r="AF2" s="8">
        <v>-51.285577002686857</v>
      </c>
      <c r="AG2" s="5">
        <v>6.3615086900063016</v>
      </c>
      <c r="AH2" s="9">
        <v>63615.086900063012</v>
      </c>
      <c r="AI2" s="5" t="s">
        <v>62</v>
      </c>
      <c r="AJ2" s="5" t="s">
        <v>70</v>
      </c>
      <c r="AK2" s="5" t="s">
        <v>71</v>
      </c>
      <c r="AL2" s="5" t="s">
        <v>72</v>
      </c>
      <c r="AM2" s="5" t="s">
        <v>73</v>
      </c>
      <c r="AN2" s="5" t="s">
        <v>74</v>
      </c>
      <c r="AO2" s="5" t="s">
        <v>75</v>
      </c>
      <c r="AP2" s="5" t="s">
        <v>76</v>
      </c>
      <c r="AQ2" s="5" t="s">
        <v>77</v>
      </c>
      <c r="AR2" s="8">
        <v>18.450001420353399</v>
      </c>
      <c r="AS2" s="8">
        <v>13.813758</v>
      </c>
      <c r="AT2" s="5">
        <v>27.754899524131901</v>
      </c>
      <c r="AU2" s="5">
        <v>1.61</v>
      </c>
      <c r="AV2" s="5">
        <v>0.13300000000000001</v>
      </c>
      <c r="AW2" s="5">
        <v>41.989159999999998</v>
      </c>
      <c r="AX2" s="5">
        <v>14.543987</v>
      </c>
      <c r="AY2" s="5">
        <v>100</v>
      </c>
      <c r="AZ2" s="5">
        <v>4.8623287644272697</v>
      </c>
      <c r="BA2" s="5">
        <v>100</v>
      </c>
      <c r="BB2" s="5"/>
      <c r="BC2" s="5" t="s">
        <v>78</v>
      </c>
      <c r="BD2" s="5" t="s">
        <v>79</v>
      </c>
      <c r="BE2" s="5"/>
      <c r="BF2" s="5"/>
      <c r="BG2" s="5" t="s">
        <v>80</v>
      </c>
      <c r="BH2" s="5" t="s">
        <v>81</v>
      </c>
    </row>
    <row r="3" spans="1:60" ht="15" customHeight="1" x14ac:dyDescent="0.25">
      <c r="A3" s="5">
        <v>2</v>
      </c>
      <c r="B3" s="5" t="s">
        <v>82</v>
      </c>
      <c r="C3" s="5" t="s">
        <v>83</v>
      </c>
      <c r="D3" s="5" t="s">
        <v>60</v>
      </c>
      <c r="E3" s="5" t="s">
        <v>61</v>
      </c>
      <c r="F3" s="5">
        <v>7437702135808</v>
      </c>
      <c r="G3" s="5" t="s">
        <v>62</v>
      </c>
      <c r="H3" s="5" t="s">
        <v>63</v>
      </c>
      <c r="I3" s="5">
        <v>74</v>
      </c>
      <c r="J3" s="5">
        <v>100</v>
      </c>
      <c r="K3" s="5">
        <v>95</v>
      </c>
      <c r="L3" s="5">
        <v>100</v>
      </c>
      <c r="M3" s="5" t="s">
        <v>84</v>
      </c>
      <c r="N3" s="5" t="s">
        <v>65</v>
      </c>
      <c r="O3" s="5" t="s">
        <v>85</v>
      </c>
      <c r="P3" s="5">
        <v>18.600000000000001</v>
      </c>
      <c r="Q3" s="5">
        <v>2.33</v>
      </c>
      <c r="R3" s="5">
        <v>1.66</v>
      </c>
      <c r="S3" s="5">
        <v>11.188657658392771</v>
      </c>
      <c r="T3" s="5">
        <v>45.364036947583799</v>
      </c>
      <c r="U3" s="5">
        <v>55.181214905564097</v>
      </c>
      <c r="V3" s="5">
        <v>0.11</v>
      </c>
      <c r="W3" s="5">
        <v>6.394036739393079</v>
      </c>
      <c r="X3" s="5">
        <v>6</v>
      </c>
      <c r="Y3" s="5">
        <v>8</v>
      </c>
      <c r="Z3" s="5" t="s">
        <v>67</v>
      </c>
      <c r="AA3" s="5" t="s">
        <v>68</v>
      </c>
      <c r="AB3" s="5" t="s">
        <v>69</v>
      </c>
      <c r="AC3" s="6">
        <v>3344.1183857700498</v>
      </c>
      <c r="AD3" s="7">
        <v>1983</v>
      </c>
      <c r="AE3" s="6">
        <v>4180.1479822125602</v>
      </c>
      <c r="AF3" s="8">
        <v>50.822315172873047</v>
      </c>
      <c r="AG3" s="5">
        <v>13.786862583334001</v>
      </c>
      <c r="AH3" s="9">
        <v>137868.62583333999</v>
      </c>
      <c r="AI3" s="5" t="s">
        <v>62</v>
      </c>
      <c r="AJ3" s="5" t="s">
        <v>86</v>
      </c>
      <c r="AK3" s="5" t="s">
        <v>71</v>
      </c>
      <c r="AL3" s="5" t="s">
        <v>72</v>
      </c>
      <c r="AM3" s="5" t="s">
        <v>87</v>
      </c>
      <c r="AN3" s="5" t="s">
        <v>88</v>
      </c>
      <c r="AO3" s="5" t="s">
        <v>89</v>
      </c>
      <c r="AP3" s="5" t="s">
        <v>90</v>
      </c>
      <c r="AQ3" s="5" t="s">
        <v>91</v>
      </c>
      <c r="AR3" s="8">
        <v>133.53000196835001</v>
      </c>
      <c r="AS3" s="8">
        <v>25</v>
      </c>
      <c r="AT3" s="5">
        <v>31.3049350873404</v>
      </c>
      <c r="AU3" s="5">
        <v>5.92</v>
      </c>
      <c r="AV3" s="5">
        <v>0.24099999999999999</v>
      </c>
      <c r="AW3" s="5">
        <v>15.395042</v>
      </c>
      <c r="AX3" s="5">
        <v>6.9355599999999997</v>
      </c>
      <c r="AY3" s="5">
        <v>100</v>
      </c>
      <c r="AZ3" s="5">
        <v>10.4011873375247</v>
      </c>
      <c r="BA3" s="5">
        <v>100</v>
      </c>
      <c r="BB3" s="5"/>
      <c r="BC3" s="5" t="s">
        <v>78</v>
      </c>
      <c r="BD3" s="5" t="s">
        <v>92</v>
      </c>
      <c r="BE3" s="5"/>
      <c r="BF3" s="5"/>
      <c r="BG3" s="5" t="s">
        <v>93</v>
      </c>
      <c r="BH3" s="5" t="s">
        <v>81</v>
      </c>
    </row>
    <row r="4" spans="1:60" ht="15" customHeight="1" x14ac:dyDescent="0.25">
      <c r="A4" s="5">
        <v>3</v>
      </c>
      <c r="B4" s="5" t="s">
        <v>94</v>
      </c>
      <c r="C4" s="5" t="s">
        <v>95</v>
      </c>
      <c r="D4" s="5" t="s">
        <v>96</v>
      </c>
      <c r="E4" s="5" t="s">
        <v>97</v>
      </c>
      <c r="F4" s="5">
        <v>1144916148224</v>
      </c>
      <c r="G4" s="5" t="s">
        <v>62</v>
      </c>
      <c r="H4" s="5" t="s">
        <v>63</v>
      </c>
      <c r="I4" s="5">
        <v>94</v>
      </c>
      <c r="J4" s="5">
        <v>81.277740443379528</v>
      </c>
      <c r="K4" s="5">
        <v>94</v>
      </c>
      <c r="L4" s="5">
        <v>100</v>
      </c>
      <c r="M4" s="5" t="s">
        <v>98</v>
      </c>
      <c r="N4" s="5" t="s">
        <v>65</v>
      </c>
      <c r="O4" s="5" t="s">
        <v>99</v>
      </c>
      <c r="P4" s="5">
        <v>21</v>
      </c>
      <c r="Q4" s="5">
        <v>0.56999999999999995</v>
      </c>
      <c r="R4" s="5">
        <v>0.56000000000000005</v>
      </c>
      <c r="S4" s="5">
        <v>7.9695430331150554</v>
      </c>
      <c r="T4" s="5">
        <v>23.687435510543299</v>
      </c>
      <c r="U4" s="5">
        <v>57.096422553210203</v>
      </c>
      <c r="V4" s="5">
        <v>0.28999999999999998</v>
      </c>
      <c r="W4" s="5">
        <v>4.5123221765585173</v>
      </c>
      <c r="X4" s="5">
        <v>23</v>
      </c>
      <c r="Y4" s="5">
        <v>37</v>
      </c>
      <c r="Z4" s="5" t="s">
        <v>67</v>
      </c>
      <c r="AA4" s="5" t="s">
        <v>68</v>
      </c>
      <c r="AB4" s="5" t="s">
        <v>69</v>
      </c>
      <c r="AC4" s="6">
        <v>2583.1557816852401</v>
      </c>
      <c r="AD4" s="7">
        <v>2476</v>
      </c>
      <c r="AE4" s="6">
        <v>3228.9447271065501</v>
      </c>
      <c r="AF4" s="8">
        <v>22.45144430688876</v>
      </c>
      <c r="AG4" s="5">
        <v>11.205661290841141</v>
      </c>
      <c r="AH4" s="9">
        <v>112056.61290841141</v>
      </c>
      <c r="AI4" s="5" t="s">
        <v>62</v>
      </c>
      <c r="AJ4" s="5" t="s">
        <v>100</v>
      </c>
      <c r="AK4" s="5" t="s">
        <v>101</v>
      </c>
      <c r="AL4" s="5" t="s">
        <v>72</v>
      </c>
      <c r="AM4" s="5" t="s">
        <v>102</v>
      </c>
      <c r="AN4" s="5" t="s">
        <v>103</v>
      </c>
      <c r="AO4" s="5" t="s">
        <v>104</v>
      </c>
      <c r="AP4" s="5" t="s">
        <v>105</v>
      </c>
      <c r="AQ4" s="5" t="s">
        <v>106</v>
      </c>
      <c r="AR4" s="8">
        <v>115.0800064057</v>
      </c>
      <c r="AS4" s="8">
        <v>24.132888300000001</v>
      </c>
      <c r="AT4" s="5">
        <v>28.058261445138601</v>
      </c>
      <c r="AU4" s="5">
        <v>0.48</v>
      </c>
      <c r="AV4" s="5">
        <v>0.18</v>
      </c>
      <c r="AW4" s="5">
        <v>21.758776000000001</v>
      </c>
      <c r="AX4" s="5">
        <v>5.0968175000000002</v>
      </c>
      <c r="AY4" s="5">
        <v>100</v>
      </c>
      <c r="AZ4" s="5">
        <v>29.387781571572798</v>
      </c>
      <c r="BA4" s="5">
        <v>100</v>
      </c>
      <c r="BB4" s="5"/>
      <c r="BC4" s="5" t="s">
        <v>78</v>
      </c>
      <c r="BD4" s="5" t="s">
        <v>92</v>
      </c>
      <c r="BE4" s="5"/>
      <c r="BF4" s="5"/>
      <c r="BG4" s="5" t="s">
        <v>93</v>
      </c>
      <c r="BH4" s="5" t="s">
        <v>81</v>
      </c>
    </row>
    <row r="5" spans="1:60" ht="15" customHeight="1" x14ac:dyDescent="0.25">
      <c r="A5" s="5">
        <v>4</v>
      </c>
      <c r="B5" s="5" t="s">
        <v>107</v>
      </c>
      <c r="C5" s="5" t="s">
        <v>108</v>
      </c>
      <c r="D5" s="5" t="s">
        <v>109</v>
      </c>
      <c r="E5" s="5" t="s">
        <v>110</v>
      </c>
      <c r="F5" s="5">
        <v>77801881600</v>
      </c>
      <c r="G5" s="5" t="s">
        <v>62</v>
      </c>
      <c r="H5" s="5" t="s">
        <v>63</v>
      </c>
      <c r="I5" s="5">
        <v>45</v>
      </c>
      <c r="J5" s="5">
        <v>20.4596652004726</v>
      </c>
      <c r="K5" s="5">
        <v>92</v>
      </c>
      <c r="L5" s="5">
        <v>100</v>
      </c>
      <c r="M5" s="5" t="s">
        <v>111</v>
      </c>
      <c r="N5" s="5" t="s">
        <v>65</v>
      </c>
      <c r="O5" s="5" t="s">
        <v>112</v>
      </c>
      <c r="P5" s="5">
        <v>19.8</v>
      </c>
      <c r="Q5" s="5">
        <v>1.24</v>
      </c>
      <c r="R5" s="5">
        <v>1.2</v>
      </c>
      <c r="S5" s="5"/>
      <c r="T5" s="5">
        <v>13.774437495411201</v>
      </c>
      <c r="U5" s="5">
        <v>12.944574833002401</v>
      </c>
      <c r="V5" s="5">
        <v>0</v>
      </c>
      <c r="W5" s="5"/>
      <c r="X5" s="5">
        <v>13</v>
      </c>
      <c r="Y5" s="5">
        <v>16</v>
      </c>
      <c r="Z5" s="5" t="s">
        <v>67</v>
      </c>
      <c r="AA5" s="5" t="s">
        <v>68</v>
      </c>
      <c r="AB5" s="5" t="s">
        <v>69</v>
      </c>
      <c r="AC5" s="6">
        <v>320.92557700764701</v>
      </c>
      <c r="AD5" s="7">
        <v>1149</v>
      </c>
      <c r="AE5" s="6">
        <v>401.15697125955899</v>
      </c>
      <c r="AF5" s="8">
        <v>-175.25384802188941</v>
      </c>
      <c r="AG5" s="5">
        <v>2.8207486712824781</v>
      </c>
      <c r="AH5" s="9">
        <v>28207.486712824779</v>
      </c>
      <c r="AI5" s="5" t="s">
        <v>62</v>
      </c>
      <c r="AJ5" s="5" t="s">
        <v>113</v>
      </c>
      <c r="AK5" s="5" t="s">
        <v>101</v>
      </c>
      <c r="AL5" s="5" t="s">
        <v>72</v>
      </c>
      <c r="AM5" s="5" t="s">
        <v>114</v>
      </c>
      <c r="AN5" s="5" t="s">
        <v>115</v>
      </c>
      <c r="AO5" s="5" t="s">
        <v>116</v>
      </c>
      <c r="AP5" s="5" t="s">
        <v>117</v>
      </c>
      <c r="AQ5" s="5" t="s">
        <v>118</v>
      </c>
      <c r="AR5" s="8">
        <v>58.540001889764802</v>
      </c>
      <c r="AS5" s="8">
        <v>13.044297</v>
      </c>
      <c r="AT5" s="5">
        <v>6.85269851827056</v>
      </c>
      <c r="AU5" s="5">
        <v>0.61</v>
      </c>
      <c r="AV5" s="5">
        <v>0.50900000000000001</v>
      </c>
      <c r="AW5" s="5">
        <v>18.862316</v>
      </c>
      <c r="AX5" s="5">
        <v>2.5957233999999998</v>
      </c>
      <c r="AY5" s="5">
        <v>100</v>
      </c>
      <c r="AZ5" s="5">
        <v>9.0681546645663804</v>
      </c>
      <c r="BA5" s="5">
        <v>100</v>
      </c>
      <c r="BB5" s="5"/>
      <c r="BC5" s="5" t="s">
        <v>78</v>
      </c>
      <c r="BD5" s="5" t="s">
        <v>119</v>
      </c>
      <c r="BE5" s="5"/>
      <c r="BF5" s="5"/>
      <c r="BG5" s="5" t="s">
        <v>80</v>
      </c>
      <c r="BH5" s="5" t="s">
        <v>81</v>
      </c>
    </row>
    <row r="6" spans="1:60" ht="15" customHeight="1" x14ac:dyDescent="0.25">
      <c r="A6" s="5">
        <v>5</v>
      </c>
      <c r="B6" s="5" t="s">
        <v>120</v>
      </c>
      <c r="C6" s="5" t="s">
        <v>121</v>
      </c>
      <c r="D6" s="5" t="s">
        <v>60</v>
      </c>
      <c r="E6" s="5" t="s">
        <v>61</v>
      </c>
      <c r="F6" s="5">
        <v>756939358208</v>
      </c>
      <c r="G6" s="5" t="s">
        <v>122</v>
      </c>
      <c r="H6" s="5" t="s">
        <v>63</v>
      </c>
      <c r="I6" s="5">
        <v>85</v>
      </c>
      <c r="J6" s="5">
        <v>39.911085048141402</v>
      </c>
      <c r="K6" s="5">
        <v>7</v>
      </c>
      <c r="L6" s="5">
        <v>100</v>
      </c>
      <c r="M6" s="5" t="s">
        <v>123</v>
      </c>
      <c r="N6" s="5" t="s">
        <v>124</v>
      </c>
      <c r="O6" s="5" t="s">
        <v>125</v>
      </c>
      <c r="P6" s="5">
        <v>38.700000000000003</v>
      </c>
      <c r="Q6" s="5">
        <v>1.06</v>
      </c>
      <c r="R6" s="5">
        <v>1.04</v>
      </c>
      <c r="S6" s="5">
        <v>31.38837556506957</v>
      </c>
      <c r="T6" s="5">
        <v>23.796306514984</v>
      </c>
      <c r="U6" s="5">
        <v>28.305862270665699</v>
      </c>
      <c r="V6" s="5">
        <v>0.06</v>
      </c>
      <c r="W6" s="5">
        <v>2.0753958534576502</v>
      </c>
      <c r="X6" s="5">
        <v>19.600000000000001</v>
      </c>
      <c r="Y6" s="5">
        <v>35.9</v>
      </c>
      <c r="Z6" s="5" t="s">
        <v>126</v>
      </c>
      <c r="AA6" s="5" t="s">
        <v>68</v>
      </c>
      <c r="AB6" s="5" t="s">
        <v>69</v>
      </c>
      <c r="AC6" s="6">
        <v>2235.8937946569399</v>
      </c>
      <c r="AD6" s="7">
        <v>4683</v>
      </c>
      <c r="AE6" s="6">
        <v>2794.86724332118</v>
      </c>
      <c r="AF6" s="8">
        <v>-73.353493321658718</v>
      </c>
      <c r="AG6" s="10">
        <v>5.5024918059942838</v>
      </c>
      <c r="AH6" s="9">
        <v>55024.918059942836</v>
      </c>
      <c r="AI6" s="5" t="s">
        <v>122</v>
      </c>
      <c r="AJ6" s="5" t="s">
        <v>127</v>
      </c>
      <c r="AK6" s="5" t="s">
        <v>128</v>
      </c>
      <c r="AL6" s="5" t="s">
        <v>72</v>
      </c>
      <c r="AM6" s="5" t="s">
        <v>129</v>
      </c>
      <c r="AN6" s="5" t="s">
        <v>130</v>
      </c>
      <c r="AO6" s="5" t="s">
        <v>131</v>
      </c>
      <c r="AP6" s="5" t="s">
        <v>132</v>
      </c>
      <c r="AQ6" s="5" t="s">
        <v>133</v>
      </c>
      <c r="AR6" s="8">
        <v>115.900003645954</v>
      </c>
      <c r="AS6" s="8">
        <v>18.14655820438</v>
      </c>
      <c r="AT6" s="5">
        <v>24.1144714695529</v>
      </c>
      <c r="AU6" s="5">
        <v>0.92</v>
      </c>
      <c r="AV6" s="5">
        <v>0.121</v>
      </c>
      <c r="AW6" s="5">
        <v>41.803280000000001</v>
      </c>
      <c r="AX6" s="5">
        <v>9.670833</v>
      </c>
      <c r="AY6" s="5">
        <v>100</v>
      </c>
      <c r="AZ6" s="5">
        <v>6.0915645926085604</v>
      </c>
      <c r="BA6" s="5">
        <v>100</v>
      </c>
      <c r="BB6" s="5"/>
      <c r="BC6" s="5" t="s">
        <v>78</v>
      </c>
      <c r="BD6" s="5" t="s">
        <v>79</v>
      </c>
      <c r="BE6" s="5"/>
      <c r="BF6" s="5"/>
      <c r="BG6" s="5" t="s">
        <v>80</v>
      </c>
      <c r="BH6" s="5" t="s">
        <v>81</v>
      </c>
    </row>
    <row r="7" spans="1:60" ht="15" customHeight="1" x14ac:dyDescent="0.25">
      <c r="A7" s="5">
        <v>6</v>
      </c>
      <c r="B7" s="5" t="s">
        <v>134</v>
      </c>
      <c r="C7" s="5" t="s">
        <v>135</v>
      </c>
      <c r="D7" s="5" t="s">
        <v>109</v>
      </c>
      <c r="E7" s="5" t="s">
        <v>136</v>
      </c>
      <c r="F7" s="5">
        <v>251275198464</v>
      </c>
      <c r="G7" s="5" t="s">
        <v>137</v>
      </c>
      <c r="H7" s="5" t="s">
        <v>63</v>
      </c>
      <c r="I7" s="10">
        <v>58.5</v>
      </c>
      <c r="J7" s="10">
        <v>25.4207335561969</v>
      </c>
      <c r="K7" s="5">
        <v>70</v>
      </c>
      <c r="L7" s="5">
        <v>100</v>
      </c>
      <c r="M7" s="5" t="s">
        <v>138</v>
      </c>
      <c r="N7" s="5" t="s">
        <v>65</v>
      </c>
      <c r="O7" s="5" t="s">
        <v>139</v>
      </c>
      <c r="P7" s="5">
        <v>46</v>
      </c>
      <c r="Q7" s="5">
        <v>0.74</v>
      </c>
      <c r="R7" s="5">
        <v>4.07</v>
      </c>
      <c r="S7" s="5"/>
      <c r="T7" s="5">
        <v>19.119760686752699</v>
      </c>
      <c r="U7" s="5">
        <v>25.4768608936117</v>
      </c>
      <c r="V7" s="5">
        <v>0.08</v>
      </c>
      <c r="W7" s="5"/>
      <c r="X7" s="5">
        <v>28</v>
      </c>
      <c r="Y7" s="5">
        <v>11</v>
      </c>
      <c r="Z7" s="5" t="s">
        <v>140</v>
      </c>
      <c r="AA7" s="5" t="s">
        <v>68</v>
      </c>
      <c r="AB7" s="5" t="s">
        <v>69</v>
      </c>
      <c r="AC7" s="6">
        <v>142.22070738879401</v>
      </c>
      <c r="AD7" s="7">
        <v>2450</v>
      </c>
      <c r="AE7" s="6">
        <v>177.77588423599201</v>
      </c>
      <c r="AF7" s="8">
        <v>-1149.6633103795391</v>
      </c>
      <c r="AG7" s="10">
        <v>3.5047250137803889</v>
      </c>
      <c r="AH7" s="9">
        <v>35047.250137803887</v>
      </c>
      <c r="AI7" s="5" t="s">
        <v>137</v>
      </c>
      <c r="AJ7" s="5" t="s">
        <v>141</v>
      </c>
      <c r="AK7" s="5" t="s">
        <v>142</v>
      </c>
      <c r="AL7" s="5" t="s">
        <v>72</v>
      </c>
      <c r="AM7" s="5" t="s">
        <v>143</v>
      </c>
      <c r="AN7" s="5" t="s">
        <v>144</v>
      </c>
      <c r="AO7" s="5" t="s">
        <v>145</v>
      </c>
      <c r="AP7" s="5" t="s">
        <v>146</v>
      </c>
      <c r="AQ7" s="5" t="s">
        <v>147</v>
      </c>
      <c r="AR7" s="8">
        <v>43.590003456122098</v>
      </c>
      <c r="AS7" s="8">
        <v>17.2376802</v>
      </c>
      <c r="AT7" s="5">
        <v>4.0783639420966402</v>
      </c>
      <c r="AU7" s="5">
        <v>0.5</v>
      </c>
      <c r="AV7" s="5">
        <v>1.45</v>
      </c>
      <c r="AW7" s="5">
        <v>50.965820000000001</v>
      </c>
      <c r="AX7" s="5">
        <v>9.7605550000000001</v>
      </c>
      <c r="AY7" s="5">
        <v>100</v>
      </c>
      <c r="AZ7" s="5">
        <v>13.091509209583201</v>
      </c>
      <c r="BA7" s="5">
        <v>100</v>
      </c>
      <c r="BB7" s="5"/>
      <c r="BC7" s="5" t="s">
        <v>78</v>
      </c>
      <c r="BD7" s="5" t="s">
        <v>119</v>
      </c>
      <c r="BE7" s="5"/>
      <c r="BF7" s="5"/>
      <c r="BG7" s="5" t="s">
        <v>148</v>
      </c>
      <c r="BH7" s="5" t="s">
        <v>81</v>
      </c>
    </row>
    <row r="8" spans="1:60" ht="15" customHeight="1" x14ac:dyDescent="0.25">
      <c r="A8" s="5">
        <v>7</v>
      </c>
      <c r="B8" s="5" t="s">
        <v>149</v>
      </c>
      <c r="C8" s="5" t="s">
        <v>150</v>
      </c>
      <c r="D8" s="5" t="s">
        <v>109</v>
      </c>
      <c r="E8" s="5" t="s">
        <v>151</v>
      </c>
      <c r="F8" s="5">
        <v>1541647761408</v>
      </c>
      <c r="G8" s="5" t="s">
        <v>137</v>
      </c>
      <c r="H8" s="5" t="s">
        <v>63</v>
      </c>
      <c r="I8" s="10">
        <v>89.5</v>
      </c>
      <c r="J8" s="10">
        <v>44.557222223533202</v>
      </c>
      <c r="K8" s="5">
        <v>80</v>
      </c>
      <c r="L8" s="5">
        <v>100</v>
      </c>
      <c r="M8" s="5" t="s">
        <v>152</v>
      </c>
      <c r="N8" s="5" t="s">
        <v>65</v>
      </c>
      <c r="O8" s="5" t="s">
        <v>153</v>
      </c>
      <c r="P8" s="5">
        <v>64.3</v>
      </c>
      <c r="Q8" s="5">
        <v>2.09</v>
      </c>
      <c r="R8" s="5">
        <v>2.0499999999999998</v>
      </c>
      <c r="S8" s="5">
        <v>64.139744253051518</v>
      </c>
      <c r="T8" s="5">
        <v>27.8667305396004</v>
      </c>
      <c r="U8" s="5">
        <v>27.033079098562698</v>
      </c>
      <c r="V8" s="5">
        <v>3.0000000000000001E-3</v>
      </c>
      <c r="W8" s="5">
        <v>0.96456583655290618</v>
      </c>
      <c r="X8" s="5">
        <v>13</v>
      </c>
      <c r="Y8" s="5">
        <v>30.8</v>
      </c>
      <c r="Z8" s="5" t="s">
        <v>140</v>
      </c>
      <c r="AA8" s="5" t="s">
        <v>68</v>
      </c>
      <c r="AB8" s="5" t="s">
        <v>69</v>
      </c>
      <c r="AC8" s="6">
        <v>1377.89735820944</v>
      </c>
      <c r="AD8" s="7">
        <v>5478</v>
      </c>
      <c r="AE8" s="6">
        <v>1722.3716977618001</v>
      </c>
      <c r="AF8" s="8">
        <v>-222.89778142703369</v>
      </c>
      <c r="AG8" s="10">
        <v>6.1430489771732182</v>
      </c>
      <c r="AH8" s="9">
        <v>61430.48977173218</v>
      </c>
      <c r="AI8" s="5" t="s">
        <v>137</v>
      </c>
      <c r="AJ8" s="5" t="s">
        <v>141</v>
      </c>
      <c r="AK8" s="5" t="s">
        <v>142</v>
      </c>
      <c r="AL8" s="5" t="s">
        <v>72</v>
      </c>
      <c r="AM8" s="5" t="s">
        <v>154</v>
      </c>
      <c r="AN8" s="5" t="s">
        <v>155</v>
      </c>
      <c r="AO8" s="5" t="s">
        <v>156</v>
      </c>
      <c r="AP8" s="5" t="s">
        <v>157</v>
      </c>
      <c r="AQ8" s="5" t="s">
        <v>158</v>
      </c>
      <c r="AR8" s="8">
        <v>85.360009351799505</v>
      </c>
      <c r="AS8" s="8">
        <v>10.960205500000001</v>
      </c>
      <c r="AT8" s="5">
        <v>20.177737790086699</v>
      </c>
      <c r="AU8" s="5">
        <v>1.21</v>
      </c>
      <c r="AV8" s="5">
        <v>0.57199999999999995</v>
      </c>
      <c r="AW8" s="5">
        <v>65.153464999999997</v>
      </c>
      <c r="AX8" s="5">
        <v>18.189637999999999</v>
      </c>
      <c r="AY8" s="5">
        <v>100</v>
      </c>
      <c r="AZ8" s="5">
        <v>0.43078832730001598</v>
      </c>
      <c r="BA8" s="5">
        <v>100</v>
      </c>
      <c r="BB8" s="5"/>
      <c r="BC8" s="5" t="s">
        <v>78</v>
      </c>
      <c r="BD8" s="5" t="s">
        <v>79</v>
      </c>
      <c r="BE8" s="5"/>
      <c r="BF8" s="5"/>
      <c r="BG8" s="5" t="s">
        <v>80</v>
      </c>
      <c r="BH8" s="5" t="s">
        <v>81</v>
      </c>
    </row>
    <row r="9" spans="1:60" ht="15" customHeight="1" x14ac:dyDescent="0.25">
      <c r="A9" s="5">
        <v>8</v>
      </c>
      <c r="B9" s="5" t="s">
        <v>159</v>
      </c>
      <c r="C9" s="5" t="s">
        <v>160</v>
      </c>
      <c r="D9" s="5" t="s">
        <v>109</v>
      </c>
      <c r="E9" s="5" t="s">
        <v>151</v>
      </c>
      <c r="F9" s="5">
        <v>214394355712</v>
      </c>
      <c r="G9" s="5" t="s">
        <v>137</v>
      </c>
      <c r="H9" s="5" t="s">
        <v>161</v>
      </c>
      <c r="I9" s="5">
        <v>44.5</v>
      </c>
      <c r="J9" s="5">
        <v>0</v>
      </c>
      <c r="K9" s="5">
        <v>55</v>
      </c>
      <c r="L9" s="5">
        <v>100</v>
      </c>
      <c r="M9" s="5" t="s">
        <v>162</v>
      </c>
      <c r="N9" s="5" t="s">
        <v>65</v>
      </c>
      <c r="O9" s="5" t="s">
        <v>163</v>
      </c>
      <c r="P9" s="5">
        <v>190</v>
      </c>
      <c r="Q9" s="5">
        <v>2.4900000000000002</v>
      </c>
      <c r="R9" s="5">
        <v>2.4900000000000002</v>
      </c>
      <c r="S9" s="5">
        <v>160.19124966919031</v>
      </c>
      <c r="T9" s="5">
        <v>11.431009729062101</v>
      </c>
      <c r="U9" s="5">
        <v>13.3959153480375</v>
      </c>
      <c r="V9" s="5">
        <v>0.3</v>
      </c>
      <c r="W9" s="5">
        <v>0.29016725526415049</v>
      </c>
      <c r="X9" s="5">
        <v>29.6</v>
      </c>
      <c r="Y9" s="5">
        <v>76.2</v>
      </c>
      <c r="Z9" s="5" t="s">
        <v>140</v>
      </c>
      <c r="AA9" s="5" t="s">
        <v>68</v>
      </c>
      <c r="AB9" s="5" t="s">
        <v>164</v>
      </c>
      <c r="AC9" s="6">
        <v>492.03036436495302</v>
      </c>
      <c r="AD9" s="7">
        <v>7034</v>
      </c>
      <c r="AE9" s="6">
        <v>615.03795545619096</v>
      </c>
      <c r="AF9" s="8">
        <v>-1033.2633926356871</v>
      </c>
      <c r="AG9" s="10">
        <v>0.67232619182780795</v>
      </c>
      <c r="AH9" s="9">
        <v>6723.26191827808</v>
      </c>
      <c r="AI9" s="5" t="s">
        <v>137</v>
      </c>
      <c r="AJ9" s="5" t="s">
        <v>141</v>
      </c>
      <c r="AK9" s="5" t="s">
        <v>142</v>
      </c>
      <c r="AL9" s="5" t="s">
        <v>72</v>
      </c>
      <c r="AM9" s="5" t="s">
        <v>165</v>
      </c>
      <c r="AN9" s="5" t="s">
        <v>166</v>
      </c>
      <c r="AO9" s="5" t="s">
        <v>167</v>
      </c>
      <c r="AP9" s="5" t="s">
        <v>168</v>
      </c>
      <c r="AQ9" s="5" t="s">
        <v>147</v>
      </c>
      <c r="AR9" s="8">
        <v>30.8300010753129</v>
      </c>
      <c r="AS9" s="8">
        <v>12.121</v>
      </c>
      <c r="AT9" s="5">
        <v>19.949333618429801</v>
      </c>
      <c r="AU9" s="5"/>
      <c r="AV9" s="5">
        <v>1.099</v>
      </c>
      <c r="AW9" s="5">
        <v>226.07848999999999</v>
      </c>
      <c r="AX9" s="5">
        <v>26.05705</v>
      </c>
      <c r="AY9" s="5">
        <v>75</v>
      </c>
      <c r="AZ9" s="5">
        <v>45.778136537533399</v>
      </c>
      <c r="BA9" s="5">
        <v>75</v>
      </c>
      <c r="BB9" s="5"/>
      <c r="BC9" s="5" t="s">
        <v>78</v>
      </c>
      <c r="BD9" s="5" t="s">
        <v>119</v>
      </c>
      <c r="BE9" s="5"/>
      <c r="BF9" s="5"/>
      <c r="BG9" s="5" t="s">
        <v>148</v>
      </c>
      <c r="BH9" s="5" t="s">
        <v>81</v>
      </c>
    </row>
    <row r="10" spans="1:60" ht="15" customHeight="1" x14ac:dyDescent="0.25">
      <c r="A10" s="5">
        <v>9</v>
      </c>
      <c r="B10" s="5" t="s">
        <v>169</v>
      </c>
      <c r="C10" s="5" t="s">
        <v>170</v>
      </c>
      <c r="D10" s="5" t="s">
        <v>171</v>
      </c>
      <c r="E10" s="5" t="s">
        <v>172</v>
      </c>
      <c r="F10" s="5">
        <v>435345326080</v>
      </c>
      <c r="G10" s="5" t="s">
        <v>137</v>
      </c>
      <c r="H10" s="5" t="s">
        <v>173</v>
      </c>
      <c r="I10" s="10">
        <v>27.5</v>
      </c>
      <c r="J10" s="10">
        <v>7.2541443162362</v>
      </c>
      <c r="K10" s="5">
        <v>55</v>
      </c>
      <c r="L10" s="5">
        <v>100</v>
      </c>
      <c r="M10" s="5" t="s">
        <v>174</v>
      </c>
      <c r="N10" s="5" t="s">
        <v>65</v>
      </c>
      <c r="O10" s="5" t="s">
        <v>175</v>
      </c>
      <c r="P10" s="5">
        <v>39</v>
      </c>
      <c r="Q10" s="5">
        <v>1.18</v>
      </c>
      <c r="R10" s="5">
        <v>1.1299999999999999</v>
      </c>
      <c r="S10" s="5">
        <v>38.244331559323932</v>
      </c>
      <c r="T10" s="5">
        <v>10.224468143237001</v>
      </c>
      <c r="U10" s="5">
        <v>11.363537391266499</v>
      </c>
      <c r="V10" s="5">
        <v>0.1</v>
      </c>
      <c r="W10" s="5">
        <v>2.5193220563830012</v>
      </c>
      <c r="X10" s="5">
        <v>-0.1</v>
      </c>
      <c r="Y10" s="5">
        <v>33</v>
      </c>
      <c r="Z10" s="5" t="s">
        <v>140</v>
      </c>
      <c r="AA10" s="5" t="s">
        <v>68</v>
      </c>
      <c r="AB10" s="5" t="s">
        <v>176</v>
      </c>
      <c r="AC10" s="6">
        <v>642.15890161417303</v>
      </c>
      <c r="AD10" s="7">
        <v>1325</v>
      </c>
      <c r="AE10" s="6">
        <v>802.69862701771603</v>
      </c>
      <c r="AF10" s="8">
        <v>-54.516272764551047</v>
      </c>
      <c r="AG10" s="10">
        <v>0.53901456911185497</v>
      </c>
      <c r="AH10" s="9">
        <v>5390.1456911185496</v>
      </c>
      <c r="AI10" s="5" t="s">
        <v>177</v>
      </c>
      <c r="AJ10" s="5" t="s">
        <v>141</v>
      </c>
      <c r="AK10" s="5" t="s">
        <v>142</v>
      </c>
      <c r="AL10" s="5" t="s">
        <v>72</v>
      </c>
      <c r="AM10" s="5" t="s">
        <v>178</v>
      </c>
      <c r="AN10" s="5" t="s">
        <v>179</v>
      </c>
      <c r="AO10" s="5" t="s">
        <v>180</v>
      </c>
      <c r="AP10" s="5" t="s">
        <v>181</v>
      </c>
      <c r="AQ10" s="5" t="s">
        <v>182</v>
      </c>
      <c r="AR10" s="8">
        <v>23.040001447857801</v>
      </c>
      <c r="AS10" s="8">
        <v>10.48834958224</v>
      </c>
      <c r="AT10" s="5">
        <v>34.839350130977301</v>
      </c>
      <c r="AU10" s="5">
        <v>0.97</v>
      </c>
      <c r="AV10" s="5">
        <v>0.57199999999999995</v>
      </c>
      <c r="AW10" s="5">
        <v>53.832465999999997</v>
      </c>
      <c r="AX10" s="5">
        <v>7.1907290000000001</v>
      </c>
      <c r="AY10" s="5">
        <v>100</v>
      </c>
      <c r="AZ10" s="5">
        <v>47.242586791009401</v>
      </c>
      <c r="BA10" s="5">
        <v>100</v>
      </c>
      <c r="BB10" s="5"/>
      <c r="BC10" s="5" t="s">
        <v>78</v>
      </c>
      <c r="BD10" s="5" t="s">
        <v>119</v>
      </c>
      <c r="BE10" s="5"/>
      <c r="BF10" s="5"/>
      <c r="BG10" s="5" t="s">
        <v>80</v>
      </c>
      <c r="BH10" s="5" t="s">
        <v>81</v>
      </c>
    </row>
    <row r="11" spans="1:60" ht="15" customHeight="1" x14ac:dyDescent="0.25">
      <c r="A11" s="5">
        <v>10</v>
      </c>
      <c r="B11" s="5" t="s">
        <v>183</v>
      </c>
      <c r="C11" s="5" t="s">
        <v>184</v>
      </c>
      <c r="D11" s="5" t="s">
        <v>96</v>
      </c>
      <c r="E11" s="5" t="s">
        <v>97</v>
      </c>
      <c r="F11" s="5">
        <v>250824327168</v>
      </c>
      <c r="G11" s="5" t="s">
        <v>137</v>
      </c>
      <c r="H11" s="5" t="s">
        <v>173</v>
      </c>
      <c r="I11" s="10">
        <v>73.5</v>
      </c>
      <c r="J11" s="10">
        <v>30.84340441785</v>
      </c>
      <c r="K11" s="5">
        <v>70</v>
      </c>
      <c r="L11" s="5">
        <v>100</v>
      </c>
      <c r="M11" s="5" t="s">
        <v>185</v>
      </c>
      <c r="N11" s="5" t="s">
        <v>65</v>
      </c>
      <c r="O11" s="5" t="s">
        <v>186</v>
      </c>
      <c r="P11" s="5">
        <v>64</v>
      </c>
      <c r="Q11" s="5">
        <v>1.73</v>
      </c>
      <c r="R11" s="5">
        <v>1.66</v>
      </c>
      <c r="S11" s="5">
        <v>52.421749179247669</v>
      </c>
      <c r="T11" s="5">
        <v>19.418706986908202</v>
      </c>
      <c r="U11" s="5">
        <v>21.746460050243702</v>
      </c>
      <c r="V11" s="5">
        <v>0.4</v>
      </c>
      <c r="W11" s="5">
        <v>-0.19935840355576939</v>
      </c>
      <c r="X11" s="5">
        <v>37</v>
      </c>
      <c r="Y11" s="5">
        <v>37</v>
      </c>
      <c r="Z11" s="5" t="s">
        <v>140</v>
      </c>
      <c r="AA11" s="5" t="s">
        <v>68</v>
      </c>
      <c r="AB11" s="5" t="s">
        <v>69</v>
      </c>
      <c r="AC11" s="6">
        <v>1460.9541707558301</v>
      </c>
      <c r="AD11" s="7">
        <v>18944</v>
      </c>
      <c r="AE11" s="6">
        <v>1826.1927134447899</v>
      </c>
      <c r="AF11" s="8">
        <v>-970.53323869212227</v>
      </c>
      <c r="AG11" s="10">
        <v>1.1458997517474201</v>
      </c>
      <c r="AH11" s="9">
        <v>11458.997517474199</v>
      </c>
      <c r="AI11" s="5" t="s">
        <v>137</v>
      </c>
      <c r="AJ11" s="5" t="s">
        <v>141</v>
      </c>
      <c r="AK11" s="5" t="s">
        <v>142</v>
      </c>
      <c r="AL11" s="5" t="s">
        <v>72</v>
      </c>
      <c r="AM11" s="5" t="s">
        <v>187</v>
      </c>
      <c r="AN11" s="5" t="s">
        <v>188</v>
      </c>
      <c r="AO11" s="5" t="s">
        <v>189</v>
      </c>
      <c r="AP11" s="5" t="s">
        <v>190</v>
      </c>
      <c r="AQ11" s="5" t="s">
        <v>191</v>
      </c>
      <c r="AR11" s="8">
        <v>283.49998281499899</v>
      </c>
      <c r="AS11" s="8">
        <v>10</v>
      </c>
      <c r="AT11" s="5">
        <v>6.4415968728211102</v>
      </c>
      <c r="AU11" s="5">
        <v>0.18</v>
      </c>
      <c r="AV11" s="5">
        <v>-0.32100000000000001</v>
      </c>
      <c r="AW11" s="5">
        <v>68.959434999999999</v>
      </c>
      <c r="AX11" s="5">
        <v>13.390219</v>
      </c>
      <c r="AY11" s="5">
        <v>50</v>
      </c>
      <c r="AZ11" s="5">
        <v>16.072368931020598</v>
      </c>
      <c r="BA11" s="5">
        <v>50</v>
      </c>
      <c r="BB11" s="5"/>
      <c r="BC11" s="5" t="s">
        <v>78</v>
      </c>
      <c r="BD11" s="5" t="s">
        <v>119</v>
      </c>
      <c r="BE11" s="5"/>
      <c r="BF11" s="5"/>
      <c r="BG11" s="5" t="s">
        <v>148</v>
      </c>
      <c r="BH11" s="5" t="s">
        <v>81</v>
      </c>
    </row>
    <row r="12" spans="1:60" ht="15" customHeight="1" x14ac:dyDescent="0.25">
      <c r="A12" s="5">
        <v>11</v>
      </c>
      <c r="B12" s="5" t="s">
        <v>192</v>
      </c>
      <c r="C12" s="5" t="s">
        <v>193</v>
      </c>
      <c r="D12" s="5" t="s">
        <v>109</v>
      </c>
      <c r="E12" s="5" t="s">
        <v>151</v>
      </c>
      <c r="F12" s="5">
        <v>115745480704</v>
      </c>
      <c r="G12" s="5" t="s">
        <v>137</v>
      </c>
      <c r="H12" s="5" t="s">
        <v>63</v>
      </c>
      <c r="I12" s="10">
        <v>44.5</v>
      </c>
      <c r="J12" s="10">
        <v>19.6190764280107</v>
      </c>
      <c r="K12" s="5">
        <v>70</v>
      </c>
      <c r="L12" s="5">
        <v>100</v>
      </c>
      <c r="M12" s="5" t="s">
        <v>194</v>
      </c>
      <c r="N12" s="5" t="s">
        <v>65</v>
      </c>
      <c r="O12" s="5" t="s">
        <v>195</v>
      </c>
      <c r="P12" s="5">
        <v>35.19</v>
      </c>
      <c r="Q12" s="5">
        <v>2.0099999999999998</v>
      </c>
      <c r="R12" s="5">
        <v>1.85</v>
      </c>
      <c r="S12" s="5">
        <v>27.210588042966659</v>
      </c>
      <c r="T12" s="5">
        <v>14.795106317464899</v>
      </c>
      <c r="U12" s="5">
        <v>16.713268739485301</v>
      </c>
      <c r="V12" s="5">
        <v>0.12</v>
      </c>
      <c r="W12" s="5">
        <v>1.6672420991927841</v>
      </c>
      <c r="X12" s="5">
        <v>17.5</v>
      </c>
      <c r="Y12" s="5">
        <v>17.5</v>
      </c>
      <c r="Z12" s="5" t="s">
        <v>140</v>
      </c>
      <c r="AA12" s="5" t="s">
        <v>68</v>
      </c>
      <c r="AB12" s="5" t="s">
        <v>69</v>
      </c>
      <c r="AC12" s="6">
        <v>187.05019741615601</v>
      </c>
      <c r="AD12" s="7">
        <v>529</v>
      </c>
      <c r="AE12" s="6">
        <v>233.81274677019499</v>
      </c>
      <c r="AF12" s="8">
        <v>-120.6038837168103</v>
      </c>
      <c r="AG12" s="10">
        <v>2.7048577395500311</v>
      </c>
      <c r="AH12" s="9">
        <v>27048.57739550031</v>
      </c>
      <c r="AI12" s="5" t="s">
        <v>137</v>
      </c>
      <c r="AJ12" s="5" t="s">
        <v>141</v>
      </c>
      <c r="AK12" s="5" t="s">
        <v>142</v>
      </c>
      <c r="AL12" s="5" t="s">
        <v>72</v>
      </c>
      <c r="AM12" s="5" t="s">
        <v>196</v>
      </c>
      <c r="AN12" s="5" t="s">
        <v>197</v>
      </c>
      <c r="AO12" s="5" t="s">
        <v>198</v>
      </c>
      <c r="AP12" s="5" t="s">
        <v>199</v>
      </c>
      <c r="AQ12" s="5" t="s">
        <v>147</v>
      </c>
      <c r="AR12" s="8">
        <v>15.180000887544701</v>
      </c>
      <c r="AS12" s="8">
        <v>13.765008558510001</v>
      </c>
      <c r="AT12" s="5">
        <v>15.4026842404608</v>
      </c>
      <c r="AU12" s="5">
        <v>0.39</v>
      </c>
      <c r="AV12" s="5">
        <v>0.48899999999999999</v>
      </c>
      <c r="AW12" s="5">
        <v>33.978920000000002</v>
      </c>
      <c r="AX12" s="5">
        <v>5.0196579999999997</v>
      </c>
      <c r="AY12" s="5">
        <v>100</v>
      </c>
      <c r="AZ12" s="5">
        <v>11.8243756044461</v>
      </c>
      <c r="BA12" s="5">
        <v>100</v>
      </c>
      <c r="BB12" s="5"/>
      <c r="BC12" s="5" t="s">
        <v>78</v>
      </c>
      <c r="BD12" s="5" t="s">
        <v>119</v>
      </c>
      <c r="BE12" s="5"/>
      <c r="BF12" s="5"/>
      <c r="BG12" s="5" t="s">
        <v>80</v>
      </c>
      <c r="BH12" s="5" t="s">
        <v>81</v>
      </c>
    </row>
    <row r="13" spans="1:60" ht="15" customHeight="1" x14ac:dyDescent="0.25">
      <c r="A13" s="5">
        <v>12</v>
      </c>
      <c r="B13" s="5" t="s">
        <v>200</v>
      </c>
      <c r="C13" s="5" t="s">
        <v>201</v>
      </c>
      <c r="D13" s="5" t="s">
        <v>202</v>
      </c>
      <c r="E13" s="5" t="s">
        <v>203</v>
      </c>
      <c r="F13" s="5">
        <v>9469690904576</v>
      </c>
      <c r="G13" s="5" t="s">
        <v>137</v>
      </c>
      <c r="H13" s="5" t="s">
        <v>63</v>
      </c>
      <c r="I13" s="10">
        <v>23.333333333333339</v>
      </c>
      <c r="J13" s="10">
        <v>0</v>
      </c>
      <c r="K13" s="5">
        <v>75</v>
      </c>
      <c r="L13" s="5">
        <v>60</v>
      </c>
      <c r="M13" s="5" t="s">
        <v>204</v>
      </c>
      <c r="N13" s="5" t="s">
        <v>65</v>
      </c>
      <c r="O13" s="5" t="s">
        <v>205</v>
      </c>
      <c r="P13" s="5">
        <v>11.6</v>
      </c>
      <c r="Q13" s="5">
        <v>0.89</v>
      </c>
      <c r="R13" s="5">
        <v>0.8</v>
      </c>
      <c r="S13" s="5"/>
      <c r="T13" s="5">
        <v>13.546738870871</v>
      </c>
      <c r="U13" s="5">
        <v>13.76</v>
      </c>
      <c r="V13" s="5">
        <v>1.33</v>
      </c>
      <c r="W13" s="5">
        <v>2.8994602101057891</v>
      </c>
      <c r="X13" s="5">
        <v>5.2</v>
      </c>
      <c r="Y13" s="5">
        <v>13</v>
      </c>
      <c r="Z13" s="5" t="s">
        <v>140</v>
      </c>
      <c r="AA13" s="5" t="s">
        <v>68</v>
      </c>
      <c r="AB13" s="5" t="s">
        <v>69</v>
      </c>
      <c r="AC13" s="6">
        <v>824.04235660828704</v>
      </c>
      <c r="AD13" s="7">
        <v>1040</v>
      </c>
      <c r="AE13" s="6">
        <v>1030.05294576036</v>
      </c>
      <c r="AF13" s="8">
        <v>0.40317789269493942</v>
      </c>
      <c r="AG13" s="10">
        <v>0.28207505894517598</v>
      </c>
      <c r="AH13" s="9">
        <v>2820.7505894517599</v>
      </c>
      <c r="AI13" s="5" t="s">
        <v>137</v>
      </c>
      <c r="AJ13" s="5" t="s">
        <v>141</v>
      </c>
      <c r="AK13" s="5" t="s">
        <v>142</v>
      </c>
      <c r="AL13" s="5" t="s">
        <v>72</v>
      </c>
      <c r="AM13" s="5" t="s">
        <v>206</v>
      </c>
      <c r="AN13" s="5" t="s">
        <v>207</v>
      </c>
      <c r="AO13" s="5" t="s">
        <v>208</v>
      </c>
      <c r="AP13" s="5" t="s">
        <v>209</v>
      </c>
      <c r="AQ13" s="5" t="s">
        <v>210</v>
      </c>
      <c r="AR13" s="8">
        <v>89.280004315649805</v>
      </c>
      <c r="AS13" s="8">
        <v>12.7778112</v>
      </c>
      <c r="AT13" s="5">
        <v>11.537331381724499</v>
      </c>
      <c r="AU13" s="5">
        <v>1.67</v>
      </c>
      <c r="AV13" s="5">
        <v>0.36199999999999999</v>
      </c>
      <c r="AW13" s="5">
        <v>11.490816000000001</v>
      </c>
      <c r="AX13" s="5">
        <v>1.5885256999999999</v>
      </c>
      <c r="AY13" s="5">
        <v>60</v>
      </c>
      <c r="AZ13" s="5">
        <v>100</v>
      </c>
      <c r="BA13" s="5">
        <v>100</v>
      </c>
      <c r="BB13" s="5"/>
      <c r="BC13" s="5" t="s">
        <v>211</v>
      </c>
      <c r="BD13" s="5" t="s">
        <v>119</v>
      </c>
      <c r="BE13" s="5"/>
      <c r="BF13" s="5"/>
      <c r="BG13" s="5" t="s">
        <v>212</v>
      </c>
      <c r="BH13" s="5" t="s">
        <v>81</v>
      </c>
    </row>
    <row r="14" spans="1:60" ht="15" customHeight="1" x14ac:dyDescent="0.25">
      <c r="A14" s="5">
        <v>13</v>
      </c>
      <c r="B14" s="5" t="s">
        <v>213</v>
      </c>
      <c r="C14" s="5" t="s">
        <v>214</v>
      </c>
      <c r="D14" s="5" t="s">
        <v>215</v>
      </c>
      <c r="E14" s="5" t="s">
        <v>216</v>
      </c>
      <c r="F14" s="5">
        <v>4060982018048</v>
      </c>
      <c r="G14" s="5" t="s">
        <v>137</v>
      </c>
      <c r="H14" s="5" t="s">
        <v>173</v>
      </c>
      <c r="I14" s="10">
        <v>72</v>
      </c>
      <c r="J14" s="10">
        <v>0</v>
      </c>
      <c r="K14" s="5">
        <v>50</v>
      </c>
      <c r="L14" s="5">
        <v>100</v>
      </c>
      <c r="M14" s="5" t="s">
        <v>217</v>
      </c>
      <c r="N14" s="5" t="s">
        <v>65</v>
      </c>
      <c r="O14" s="5" t="s">
        <v>218</v>
      </c>
      <c r="P14" s="5">
        <v>76.5</v>
      </c>
      <c r="Q14" s="5">
        <v>5.0999999999999996</v>
      </c>
      <c r="R14" s="5">
        <v>4.6399999999999997</v>
      </c>
      <c r="S14" s="5"/>
      <c r="T14" s="5">
        <v>32.305928803413401</v>
      </c>
      <c r="U14" s="5">
        <v>36.373266563944497</v>
      </c>
      <c r="V14" s="5">
        <v>1.5</v>
      </c>
      <c r="W14" s="5"/>
      <c r="X14" s="5">
        <v>17</v>
      </c>
      <c r="Y14" s="5">
        <v>15</v>
      </c>
      <c r="Z14" s="5" t="s">
        <v>140</v>
      </c>
      <c r="AA14" s="5" t="s">
        <v>68</v>
      </c>
      <c r="AB14" s="5" t="s">
        <v>176</v>
      </c>
      <c r="AC14" s="6">
        <v>1239.9030423704401</v>
      </c>
      <c r="AD14" s="7">
        <v>3550</v>
      </c>
      <c r="AE14" s="6">
        <v>1549.87880296305</v>
      </c>
      <c r="AF14" s="8">
        <v>-195.38438691126211</v>
      </c>
      <c r="AG14" s="10" t="str">
        <f>IF(H14="Fail","Not Eligible (Failed Gate)",IF(J14="","Pending Score",IF(J14&gt;=90,"10%",IF(J14&gt;=80,"7.5%",IF(J14&gt;=70,"5%","Watchlist only")))))</f>
        <v>Watchlist only</v>
      </c>
      <c r="AH14" s="9" t="str">
        <f>IFERROR(ROUND(VALUE(SUBSTITUTE(AG14,"%",""))/100*Dashboard!$B$11,0),"")</f>
        <v/>
      </c>
      <c r="AI14" s="5" t="s">
        <v>177</v>
      </c>
      <c r="AJ14" s="5" t="s">
        <v>141</v>
      </c>
      <c r="AK14" s="5" t="s">
        <v>142</v>
      </c>
      <c r="AL14" s="5" t="s">
        <v>72</v>
      </c>
      <c r="AM14" s="5" t="s">
        <v>219</v>
      </c>
      <c r="AN14" s="5" t="s">
        <v>220</v>
      </c>
      <c r="AO14" s="5" t="s">
        <v>221</v>
      </c>
      <c r="AP14" s="5" t="s">
        <v>222</v>
      </c>
      <c r="AQ14" s="5" t="s">
        <v>223</v>
      </c>
      <c r="AR14" s="8">
        <v>57.090000432218481</v>
      </c>
      <c r="AS14" s="8">
        <v>25</v>
      </c>
      <c r="AT14" s="5">
        <v>27.147990943476</v>
      </c>
      <c r="AU14" s="5">
        <v>0.33</v>
      </c>
      <c r="AV14" s="5">
        <v>0.219</v>
      </c>
      <c r="AW14" s="5">
        <v>80.190926000000005</v>
      </c>
      <c r="AX14" s="5">
        <v>25.883251000000001</v>
      </c>
      <c r="AY14" s="5">
        <v>100</v>
      </c>
      <c r="AZ14" s="5">
        <v>100</v>
      </c>
      <c r="BA14" s="5">
        <v>100</v>
      </c>
      <c r="BB14" s="5"/>
      <c r="BC14" s="5" t="s">
        <v>78</v>
      </c>
      <c r="BD14" s="5" t="s">
        <v>119</v>
      </c>
      <c r="BE14" s="5"/>
      <c r="BF14" s="5"/>
      <c r="BG14" s="5" t="s">
        <v>80</v>
      </c>
      <c r="BH14" s="5" t="s">
        <v>81</v>
      </c>
    </row>
    <row r="15" spans="1:60" ht="15" customHeight="1" x14ac:dyDescent="0.25">
      <c r="A15" s="5">
        <v>14</v>
      </c>
      <c r="B15" s="5" t="s">
        <v>224</v>
      </c>
      <c r="C15" s="5" t="s">
        <v>225</v>
      </c>
      <c r="D15" s="5" t="s">
        <v>60</v>
      </c>
      <c r="E15" s="5" t="s">
        <v>61</v>
      </c>
      <c r="F15" s="5">
        <v>1267434651648</v>
      </c>
      <c r="G15" s="5" t="s">
        <v>137</v>
      </c>
      <c r="H15" s="5" t="s">
        <v>161</v>
      </c>
      <c r="I15" s="5">
        <v>62</v>
      </c>
      <c r="J15" s="5">
        <v>0</v>
      </c>
      <c r="K15" s="5">
        <v>75</v>
      </c>
      <c r="L15" s="5">
        <v>100</v>
      </c>
      <c r="M15" s="5" t="s">
        <v>226</v>
      </c>
      <c r="N15" s="5" t="s">
        <v>65</v>
      </c>
      <c r="O15" s="5" t="s">
        <v>227</v>
      </c>
      <c r="P15" s="5">
        <v>25.3</v>
      </c>
      <c r="Q15" s="5">
        <v>3.16</v>
      </c>
      <c r="R15" s="5">
        <v>2.66</v>
      </c>
      <c r="S15" s="5">
        <v>16.830921529094869</v>
      </c>
      <c r="T15" s="5">
        <v>15.9952787844532</v>
      </c>
      <c r="U15" s="5">
        <v>21.185825836848601</v>
      </c>
      <c r="V15" s="5">
        <v>0.1</v>
      </c>
      <c r="W15" s="5">
        <v>4.4041117262114886</v>
      </c>
      <c r="X15" s="5">
        <v>8.4600000000000009</v>
      </c>
      <c r="Y15" s="5">
        <v>8</v>
      </c>
      <c r="Z15" s="5" t="s">
        <v>140</v>
      </c>
      <c r="AA15" s="5" t="s">
        <v>68</v>
      </c>
      <c r="AB15" s="5" t="s">
        <v>69</v>
      </c>
      <c r="AC15" s="6">
        <v>718.54867045825404</v>
      </c>
      <c r="AD15" s="7">
        <v>1410</v>
      </c>
      <c r="AE15" s="6">
        <v>898.185838072818</v>
      </c>
      <c r="AF15" s="8">
        <v>-59.298882185671062</v>
      </c>
      <c r="AG15" s="10">
        <v>2.1360059695848999</v>
      </c>
      <c r="AH15" s="9">
        <v>21360.059695848999</v>
      </c>
      <c r="AI15" s="5" t="s">
        <v>137</v>
      </c>
      <c r="AJ15" s="5" t="s">
        <v>141</v>
      </c>
      <c r="AK15" s="5" t="s">
        <v>142</v>
      </c>
      <c r="AL15" s="5" t="s">
        <v>72</v>
      </c>
      <c r="AM15" s="5" t="s">
        <v>228</v>
      </c>
      <c r="AN15" s="5" t="s">
        <v>229</v>
      </c>
      <c r="AO15" s="5" t="s">
        <v>230</v>
      </c>
      <c r="AP15" s="5" t="s">
        <v>231</v>
      </c>
      <c r="AQ15" s="5" t="s">
        <v>232</v>
      </c>
      <c r="AR15" s="8">
        <v>53.439997164746899</v>
      </c>
      <c r="AS15" s="8">
        <v>5</v>
      </c>
      <c r="AT15" s="5">
        <v>16.8073697244165</v>
      </c>
      <c r="AU15" s="5">
        <v>3.52</v>
      </c>
      <c r="AV15" s="5">
        <v>0.17299999999999999</v>
      </c>
      <c r="AW15" s="5">
        <v>26.773954</v>
      </c>
      <c r="AX15" s="5">
        <v>4.2786059999999999</v>
      </c>
      <c r="AY15" s="5">
        <v>100</v>
      </c>
      <c r="AZ15" s="5">
        <v>7.2686770622069998</v>
      </c>
      <c r="BA15" s="5">
        <v>100</v>
      </c>
      <c r="BB15" s="5"/>
      <c r="BC15" s="5" t="s">
        <v>78</v>
      </c>
      <c r="BD15" s="5" t="s">
        <v>119</v>
      </c>
      <c r="BE15" s="5"/>
      <c r="BF15" s="5"/>
      <c r="BG15" s="5" t="s">
        <v>80</v>
      </c>
      <c r="BH15" s="5" t="s">
        <v>81</v>
      </c>
    </row>
    <row r="16" spans="1:60" ht="15" customHeight="1" x14ac:dyDescent="0.25">
      <c r="A16" s="5">
        <v>15</v>
      </c>
      <c r="B16" s="5" t="s">
        <v>233</v>
      </c>
      <c r="C16" s="5" t="s">
        <v>234</v>
      </c>
      <c r="D16" s="5" t="s">
        <v>109</v>
      </c>
      <c r="E16" s="5" t="s">
        <v>235</v>
      </c>
      <c r="F16" s="5">
        <v>5362592251904</v>
      </c>
      <c r="G16" s="5" t="s">
        <v>137</v>
      </c>
      <c r="H16" s="5" t="s">
        <v>173</v>
      </c>
      <c r="I16" s="10">
        <v>27</v>
      </c>
      <c r="J16" s="10">
        <v>0.31861062350511998</v>
      </c>
      <c r="K16" s="5">
        <v>55</v>
      </c>
      <c r="L16" s="5">
        <v>100</v>
      </c>
      <c r="M16" s="5" t="s">
        <v>236</v>
      </c>
      <c r="N16" s="5" t="s">
        <v>65</v>
      </c>
      <c r="O16" s="5" t="s">
        <v>237</v>
      </c>
      <c r="P16" s="5">
        <v>33.799999999999997</v>
      </c>
      <c r="Q16" s="5">
        <v>2.82</v>
      </c>
      <c r="R16" s="5">
        <v>2.5</v>
      </c>
      <c r="S16" s="5">
        <v>24.587797197857309</v>
      </c>
      <c r="T16" s="5">
        <v>12.5137574392872</v>
      </c>
      <c r="U16" s="5">
        <v>13.6683898304272</v>
      </c>
      <c r="V16" s="5">
        <v>1.1200000000000001</v>
      </c>
      <c r="W16" s="5">
        <v>1.7926199047694209</v>
      </c>
      <c r="X16" s="5">
        <v>12</v>
      </c>
      <c r="Y16" s="5">
        <v>12</v>
      </c>
      <c r="Z16" s="5" t="s">
        <v>140</v>
      </c>
      <c r="AA16" s="5" t="s">
        <v>68</v>
      </c>
      <c r="AB16" s="5" t="s">
        <v>176</v>
      </c>
      <c r="AC16" s="6">
        <v>1879.1480142067601</v>
      </c>
      <c r="AD16" s="7">
        <v>3693</v>
      </c>
      <c r="AE16" s="6">
        <v>2348.9350177584502</v>
      </c>
      <c r="AF16" s="8">
        <v>-65.94754518666106</v>
      </c>
      <c r="AG16" s="10">
        <v>2.8337754066461399E-2</v>
      </c>
      <c r="AH16" s="9">
        <v>283.377540664614</v>
      </c>
      <c r="AI16" s="5" t="s">
        <v>177</v>
      </c>
      <c r="AJ16" s="5" t="s">
        <v>141</v>
      </c>
      <c r="AK16" s="5" t="s">
        <v>142</v>
      </c>
      <c r="AL16" s="5" t="s">
        <v>72</v>
      </c>
      <c r="AM16" s="5" t="s">
        <v>238</v>
      </c>
      <c r="AN16" s="5" t="s">
        <v>239</v>
      </c>
      <c r="AO16" s="5" t="s">
        <v>240</v>
      </c>
      <c r="AP16" s="5" t="s">
        <v>241</v>
      </c>
      <c r="AQ16" s="5" t="s">
        <v>242</v>
      </c>
      <c r="AR16" s="8">
        <v>114.040003142413</v>
      </c>
      <c r="AS16" s="8">
        <v>12.020662490899999</v>
      </c>
      <c r="AT16" s="5">
        <v>20.597465957194402</v>
      </c>
      <c r="AU16" s="5">
        <v>0.95</v>
      </c>
      <c r="AV16" s="5">
        <v>0.46</v>
      </c>
      <c r="AW16" s="5">
        <v>34.180990000000001</v>
      </c>
      <c r="AX16" s="5">
        <v>4.9064160000000001</v>
      </c>
      <c r="AY16" s="5">
        <v>100</v>
      </c>
      <c r="AZ16" s="5">
        <v>97.639921307369505</v>
      </c>
      <c r="BA16" s="5">
        <v>100</v>
      </c>
      <c r="BB16" s="5"/>
      <c r="BC16" s="5" t="s">
        <v>78</v>
      </c>
      <c r="BD16" s="5" t="s">
        <v>119</v>
      </c>
      <c r="BE16" s="5"/>
      <c r="BF16" s="5"/>
      <c r="BG16" s="5" t="s">
        <v>80</v>
      </c>
      <c r="BH16" s="5" t="s">
        <v>81</v>
      </c>
    </row>
    <row r="17" spans="1:60" ht="15" customHeight="1" x14ac:dyDescent="0.25">
      <c r="A17" s="5">
        <v>16</v>
      </c>
      <c r="B17" s="5" t="s">
        <v>243</v>
      </c>
      <c r="C17" s="5" t="s">
        <v>244</v>
      </c>
      <c r="D17" s="5" t="s">
        <v>60</v>
      </c>
      <c r="E17" s="5" t="s">
        <v>245</v>
      </c>
      <c r="F17" s="5">
        <v>115517530112</v>
      </c>
      <c r="G17" s="5" t="s">
        <v>137</v>
      </c>
      <c r="H17" s="5" t="s">
        <v>161</v>
      </c>
      <c r="I17" s="5">
        <v>41</v>
      </c>
      <c r="J17" s="5">
        <v>0</v>
      </c>
      <c r="K17" s="5">
        <v>70</v>
      </c>
      <c r="L17" s="5">
        <v>100</v>
      </c>
      <c r="M17" s="5" t="s">
        <v>246</v>
      </c>
      <c r="N17" s="5" t="s">
        <v>65</v>
      </c>
      <c r="O17" s="5" t="s">
        <v>247</v>
      </c>
      <c r="P17" s="5">
        <v>100</v>
      </c>
      <c r="Q17" s="5">
        <v>2.0499999999999998</v>
      </c>
      <c r="R17" s="5">
        <v>1.99</v>
      </c>
      <c r="S17" s="5"/>
      <c r="T17" s="5">
        <v>15.649884648159601</v>
      </c>
      <c r="U17" s="5">
        <v>18.182953838626499</v>
      </c>
      <c r="V17" s="5">
        <v>0.15</v>
      </c>
      <c r="W17" s="5"/>
      <c r="X17" s="5">
        <v>18.399999999999999</v>
      </c>
      <c r="Y17" s="5">
        <v>48.7</v>
      </c>
      <c r="Z17" s="5" t="s">
        <v>140</v>
      </c>
      <c r="AA17" s="5" t="s">
        <v>68</v>
      </c>
      <c r="AB17" s="5" t="s">
        <v>164</v>
      </c>
      <c r="AC17" s="6">
        <v>51.870325207472703</v>
      </c>
      <c r="AD17" s="7">
        <v>1800</v>
      </c>
      <c r="AE17" s="6">
        <v>64.837906509340897</v>
      </c>
      <c r="AF17" s="8">
        <v>-2566.6499476674371</v>
      </c>
      <c r="AG17" s="10">
        <v>0.80538115083050499</v>
      </c>
      <c r="AH17" s="9">
        <v>8053.8115083050498</v>
      </c>
      <c r="AI17" s="5" t="s">
        <v>248</v>
      </c>
      <c r="AJ17" s="5" t="s">
        <v>141</v>
      </c>
      <c r="AK17" s="5" t="s">
        <v>142</v>
      </c>
      <c r="AL17" s="5" t="s">
        <v>72</v>
      </c>
      <c r="AM17" s="5" t="s">
        <v>249</v>
      </c>
      <c r="AN17" s="5" t="s">
        <v>250</v>
      </c>
      <c r="AO17" s="5" t="s">
        <v>251</v>
      </c>
      <c r="AP17" s="5" t="s">
        <v>252</v>
      </c>
      <c r="AQ17" s="5" t="s">
        <v>147</v>
      </c>
      <c r="AR17" s="8">
        <v>16.799998446242899</v>
      </c>
      <c r="AS17" s="8">
        <v>16.943000000000001</v>
      </c>
      <c r="AT17" s="5">
        <v>3.85939919698458</v>
      </c>
      <c r="AU17" s="5"/>
      <c r="AV17" s="5"/>
      <c r="AW17" s="5">
        <v>102.91667</v>
      </c>
      <c r="AX17" s="5">
        <v>16.004221000000001</v>
      </c>
      <c r="AY17" s="5">
        <v>75</v>
      </c>
      <c r="AZ17" s="5">
        <v>29.502774679405</v>
      </c>
      <c r="BA17" s="5">
        <v>75</v>
      </c>
      <c r="BB17" s="5"/>
      <c r="BC17" s="5" t="s">
        <v>78</v>
      </c>
      <c r="BD17" s="5" t="s">
        <v>119</v>
      </c>
      <c r="BE17" s="5"/>
      <c r="BF17" s="5"/>
      <c r="BG17" s="5" t="s">
        <v>148</v>
      </c>
      <c r="BH17" s="5" t="s">
        <v>81</v>
      </c>
    </row>
    <row r="18" spans="1:60" ht="15" customHeight="1" x14ac:dyDescent="0.25">
      <c r="A18" s="5">
        <v>17</v>
      </c>
      <c r="B18" s="5" t="s">
        <v>253</v>
      </c>
      <c r="C18" s="5" t="s">
        <v>254</v>
      </c>
      <c r="D18" s="5" t="s">
        <v>109</v>
      </c>
      <c r="E18" s="5" t="s">
        <v>136</v>
      </c>
      <c r="F18" s="5">
        <v>1439137267712</v>
      </c>
      <c r="G18" s="5" t="s">
        <v>137</v>
      </c>
      <c r="H18" s="5" t="s">
        <v>161</v>
      </c>
      <c r="I18" s="5">
        <v>40.5</v>
      </c>
      <c r="J18" s="5">
        <v>0</v>
      </c>
      <c r="K18" s="5">
        <v>60</v>
      </c>
      <c r="L18" s="5">
        <v>100</v>
      </c>
      <c r="M18" s="5" t="s">
        <v>255</v>
      </c>
      <c r="N18" s="5" t="s">
        <v>65</v>
      </c>
      <c r="O18" s="5" t="s">
        <v>256</v>
      </c>
      <c r="P18" s="5">
        <v>121</v>
      </c>
      <c r="Q18" s="5">
        <v>4.03</v>
      </c>
      <c r="R18" s="5">
        <v>3.84</v>
      </c>
      <c r="S18" s="5">
        <v>99.609990638998639</v>
      </c>
      <c r="T18" s="5">
        <v>14.713749885646299</v>
      </c>
      <c r="U18" s="5">
        <v>17.067300595311899</v>
      </c>
      <c r="V18" s="5">
        <v>0.1</v>
      </c>
      <c r="W18" s="5">
        <v>-5.2313379915298587E-2</v>
      </c>
      <c r="X18" s="5">
        <v>25</v>
      </c>
      <c r="Y18" s="5">
        <v>30</v>
      </c>
      <c r="Z18" s="5" t="s">
        <v>140</v>
      </c>
      <c r="AA18" s="5" t="s">
        <v>68</v>
      </c>
      <c r="AB18" s="5" t="s">
        <v>69</v>
      </c>
      <c r="AC18" s="6">
        <v>64.214444761424701</v>
      </c>
      <c r="AD18" s="7">
        <v>965</v>
      </c>
      <c r="AE18" s="6">
        <v>80.268055951780795</v>
      </c>
      <c r="AF18" s="8">
        <v>-1038.3731537598389</v>
      </c>
      <c r="AG18" s="10">
        <v>0.74145632205280299</v>
      </c>
      <c r="AH18" s="9">
        <v>7414.5632205280299</v>
      </c>
      <c r="AI18" s="5" t="s">
        <v>137</v>
      </c>
      <c r="AJ18" s="5" t="s">
        <v>141</v>
      </c>
      <c r="AK18" s="5" t="s">
        <v>142</v>
      </c>
      <c r="AL18" s="5" t="s">
        <v>72</v>
      </c>
      <c r="AM18" s="5" t="s">
        <v>257</v>
      </c>
      <c r="AN18" s="5" t="s">
        <v>258</v>
      </c>
      <c r="AO18" s="5" t="s">
        <v>259</v>
      </c>
      <c r="AP18" s="5" t="s">
        <v>260</v>
      </c>
      <c r="AQ18" s="5" t="s">
        <v>261</v>
      </c>
      <c r="AR18" s="8">
        <v>7.7399998281704701</v>
      </c>
      <c r="AS18" s="8">
        <v>16.259103199999998</v>
      </c>
      <c r="AT18" s="5">
        <v>10.370549864571201</v>
      </c>
      <c r="AU18" s="5">
        <v>0.14000000000000001</v>
      </c>
      <c r="AV18" s="5">
        <v>0.40699999999999997</v>
      </c>
      <c r="AW18" s="5">
        <v>118.05556</v>
      </c>
      <c r="AX18" s="5">
        <v>18.055088000000001</v>
      </c>
      <c r="AY18" s="5">
        <v>50</v>
      </c>
      <c r="AZ18" s="5">
        <v>1.44555240447657</v>
      </c>
      <c r="BA18" s="5">
        <v>50</v>
      </c>
      <c r="BB18" s="5"/>
      <c r="BC18" s="5" t="s">
        <v>78</v>
      </c>
      <c r="BD18" s="5" t="s">
        <v>119</v>
      </c>
      <c r="BE18" s="5"/>
      <c r="BF18" s="5"/>
      <c r="BG18" s="5" t="s">
        <v>148</v>
      </c>
      <c r="BH18" s="5" t="s">
        <v>81</v>
      </c>
    </row>
    <row r="19" spans="1:60" ht="15" customHeight="1" x14ac:dyDescent="0.25">
      <c r="A19" s="5">
        <v>18</v>
      </c>
      <c r="B19" s="5" t="s">
        <v>262</v>
      </c>
      <c r="C19" s="5" t="s">
        <v>263</v>
      </c>
      <c r="D19" s="5" t="s">
        <v>60</v>
      </c>
      <c r="E19" s="5" t="s">
        <v>264</v>
      </c>
      <c r="F19" s="5">
        <v>95841452032</v>
      </c>
      <c r="G19" s="5" t="s">
        <v>137</v>
      </c>
      <c r="H19" s="5" t="s">
        <v>161</v>
      </c>
      <c r="I19" s="5">
        <v>0</v>
      </c>
      <c r="J19" s="5">
        <v>0</v>
      </c>
      <c r="K19" s="5">
        <v>70</v>
      </c>
      <c r="L19" s="5">
        <v>90</v>
      </c>
      <c r="M19" s="5" t="s">
        <v>265</v>
      </c>
      <c r="N19" s="5" t="s">
        <v>65</v>
      </c>
      <c r="O19" s="5" t="s">
        <v>266</v>
      </c>
      <c r="P19" s="5" t="s">
        <v>267</v>
      </c>
      <c r="Q19" s="5"/>
      <c r="R19" s="5"/>
      <c r="S19" s="5"/>
      <c r="T19" s="5">
        <v>-31.010928495634399</v>
      </c>
      <c r="U19" s="5">
        <v>-29.368369995039899</v>
      </c>
      <c r="V19" s="5">
        <v>0.9</v>
      </c>
      <c r="W19" s="5">
        <v>-5.481550112852358</v>
      </c>
      <c r="X19" s="5">
        <v>-88</v>
      </c>
      <c r="Y19" s="5">
        <v>-88</v>
      </c>
      <c r="Z19" s="5" t="s">
        <v>140</v>
      </c>
      <c r="AA19" s="5" t="s">
        <v>68</v>
      </c>
      <c r="AB19" s="5" t="s">
        <v>69</v>
      </c>
      <c r="AC19" s="6"/>
      <c r="AD19" s="7">
        <v>602</v>
      </c>
      <c r="AE19" s="6"/>
      <c r="AF19" s="8" t="str">
        <f>IF(OR(NOT(ISNUMBER(AE19)),AE19&lt;=0,AD19=""),"",ROUND((AE19-AD19)/AE19*100,1))</f>
        <v/>
      </c>
      <c r="AG19" s="10" t="str">
        <f>IF(H19="Fail","Not Eligible (Failed Gate)",IF(J19="","Pending Score",IF(J19&gt;=90,"10%",IF(J19&gt;=80,"7.5%",IF(J19&gt;=70,"5%","Watchlist only")))))</f>
        <v>Not Eligible (Failed Gate)</v>
      </c>
      <c r="AH19" s="9" t="str">
        <f>IFERROR(ROUND(VALUE(SUBSTITUTE(AG19,"%",""))/100*Dashboard!$B$11,0),"")</f>
        <v/>
      </c>
      <c r="AI19" s="5" t="s">
        <v>268</v>
      </c>
      <c r="AJ19" s="5" t="s">
        <v>141</v>
      </c>
      <c r="AK19" s="5" t="s">
        <v>142</v>
      </c>
      <c r="AL19" s="5" t="s">
        <v>72</v>
      </c>
      <c r="AM19" s="5" t="s">
        <v>269</v>
      </c>
      <c r="AN19" s="5" t="s">
        <v>270</v>
      </c>
      <c r="AO19" s="5" t="s">
        <v>271</v>
      </c>
      <c r="AP19" s="5" t="s">
        <v>272</v>
      </c>
      <c r="AQ19" s="5" t="s">
        <v>147</v>
      </c>
      <c r="AR19" s="8" t="str">
        <f>IFERROR(ROUND(AD19/P19,2),"N/A")</f>
        <v>N/A</v>
      </c>
      <c r="AS19" s="8">
        <v>5</v>
      </c>
      <c r="AT19" s="5" t="str">
        <f>IFERROR(IF(OR(T19="",T19=0,AR19="N/A",T19-AS19&lt;3),"N/A",ROUND((1-(AS19/T19))*100/(Dashboard!$B$14-AS19),1)),"N/A")</f>
        <v>N/A</v>
      </c>
      <c r="AU19" s="5">
        <v>0.42</v>
      </c>
      <c r="AV19" s="5">
        <v>-0.26</v>
      </c>
      <c r="AW19" s="5"/>
      <c r="AX19" s="5">
        <v>3.2723851000000002</v>
      </c>
      <c r="AY19" s="5">
        <v>0</v>
      </c>
      <c r="AZ19" s="5">
        <v>100</v>
      </c>
      <c r="BA19" s="5">
        <v>0</v>
      </c>
      <c r="BB19" s="5"/>
      <c r="BC19" s="5" t="s">
        <v>273</v>
      </c>
      <c r="BD19" s="5" t="s">
        <v>119</v>
      </c>
      <c r="BE19" s="5"/>
      <c r="BF19" s="5"/>
      <c r="BG19" s="5"/>
      <c r="BH19" s="5" t="s">
        <v>274</v>
      </c>
    </row>
    <row r="20" spans="1:60" ht="15" customHeight="1" x14ac:dyDescent="0.25">
      <c r="A20" s="5">
        <v>19</v>
      </c>
      <c r="B20" s="5" t="s">
        <v>275</v>
      </c>
      <c r="C20" s="5" t="s">
        <v>276</v>
      </c>
      <c r="D20" s="5" t="s">
        <v>277</v>
      </c>
      <c r="E20" s="5" t="s">
        <v>278</v>
      </c>
      <c r="F20" s="5">
        <v>260586242048</v>
      </c>
      <c r="G20" s="5" t="s">
        <v>137</v>
      </c>
      <c r="H20" s="5" t="s">
        <v>161</v>
      </c>
      <c r="I20" s="5">
        <v>35</v>
      </c>
      <c r="J20" s="5">
        <v>0</v>
      </c>
      <c r="K20" s="5">
        <v>65</v>
      </c>
      <c r="L20" s="5">
        <v>100</v>
      </c>
      <c r="M20" s="5" t="s">
        <v>279</v>
      </c>
      <c r="N20" s="5" t="s">
        <v>65</v>
      </c>
      <c r="O20" s="5" t="s">
        <v>280</v>
      </c>
      <c r="P20" s="5">
        <v>26</v>
      </c>
      <c r="Q20" s="5">
        <v>0.59</v>
      </c>
      <c r="R20" s="5">
        <v>0.56999999999999995</v>
      </c>
      <c r="S20" s="5">
        <v>33.288814820386861</v>
      </c>
      <c r="T20" s="5">
        <v>9.8596528810901098</v>
      </c>
      <c r="U20" s="5">
        <v>5.1873073421760898</v>
      </c>
      <c r="V20" s="5">
        <v>0.65</v>
      </c>
      <c r="W20" s="5">
        <v>-9.3146503158250038</v>
      </c>
      <c r="X20" s="5">
        <v>42.3</v>
      </c>
      <c r="Y20" s="5">
        <v>44</v>
      </c>
      <c r="Z20" s="5" t="s">
        <v>140</v>
      </c>
      <c r="AA20" s="5" t="s">
        <v>68</v>
      </c>
      <c r="AB20" s="5" t="s">
        <v>69</v>
      </c>
      <c r="AC20" s="6">
        <v>53.835016583264498</v>
      </c>
      <c r="AD20" s="7">
        <v>270</v>
      </c>
      <c r="AE20" s="6">
        <v>67.293770729080606</v>
      </c>
      <c r="AF20" s="8">
        <v>-448.26768659667408</v>
      </c>
      <c r="AG20" s="10" t="str">
        <f>IF(H20="Fail","Not Eligible (Failed Gate)",IF(J20="","Pending Score",IF(J20&gt;=90,"10%",IF(J20&gt;=80,"7.5%",IF(J20&gt;=70,"5%","Watchlist only")))))</f>
        <v>Not Eligible (Failed Gate)</v>
      </c>
      <c r="AH20" s="9" t="str">
        <f>IFERROR(ROUND(VALUE(SUBSTITUTE(AG20,"%",""))/100*Dashboard!$B$11,0),"")</f>
        <v/>
      </c>
      <c r="AI20" s="5" t="s">
        <v>137</v>
      </c>
      <c r="AJ20" s="5" t="s">
        <v>141</v>
      </c>
      <c r="AK20" s="5" t="s">
        <v>142</v>
      </c>
      <c r="AL20" s="5" t="s">
        <v>72</v>
      </c>
      <c r="AM20" s="5" t="s">
        <v>281</v>
      </c>
      <c r="AN20" s="5" t="s">
        <v>282</v>
      </c>
      <c r="AO20" s="5" t="s">
        <v>283</v>
      </c>
      <c r="AP20" s="5" t="s">
        <v>284</v>
      </c>
      <c r="AQ20" s="5" t="s">
        <v>285</v>
      </c>
      <c r="AR20" s="8">
        <v>8.1499998036413501</v>
      </c>
      <c r="AS20" s="8">
        <v>9.8961059791880004</v>
      </c>
      <c r="AT20" s="5">
        <v>8.2569043839362699</v>
      </c>
      <c r="AU20" s="5">
        <v>0.05</v>
      </c>
      <c r="AV20" s="5"/>
      <c r="AW20" s="5">
        <v>45.269942999999998</v>
      </c>
      <c r="AX20" s="5">
        <v>4.4153376</v>
      </c>
      <c r="AY20" s="5">
        <v>50</v>
      </c>
      <c r="AZ20" s="5">
        <v>100</v>
      </c>
      <c r="BA20" s="5">
        <v>50</v>
      </c>
      <c r="BB20" s="5"/>
      <c r="BC20" s="5" t="s">
        <v>78</v>
      </c>
      <c r="BD20" s="5" t="s">
        <v>119</v>
      </c>
      <c r="BE20" s="5"/>
      <c r="BF20" s="5"/>
      <c r="BG20" s="5" t="s">
        <v>148</v>
      </c>
      <c r="BH20" s="5" t="s">
        <v>81</v>
      </c>
    </row>
    <row r="21" spans="1:60" ht="15" customHeight="1" x14ac:dyDescent="0.25">
      <c r="A21" s="5">
        <v>20</v>
      </c>
      <c r="B21" s="5" t="s">
        <v>286</v>
      </c>
      <c r="C21" s="5" t="s">
        <v>287</v>
      </c>
      <c r="D21" s="5" t="s">
        <v>215</v>
      </c>
      <c r="E21" s="5" t="s">
        <v>288</v>
      </c>
      <c r="F21" s="5">
        <v>13673056256</v>
      </c>
      <c r="G21" s="5" t="s">
        <v>137</v>
      </c>
      <c r="H21" s="5" t="s">
        <v>161</v>
      </c>
      <c r="I21" s="5">
        <v>34</v>
      </c>
      <c r="J21" s="5">
        <v>0</v>
      </c>
      <c r="K21" s="5">
        <v>70</v>
      </c>
      <c r="L21" s="5">
        <v>100</v>
      </c>
      <c r="M21" s="5" t="s">
        <v>289</v>
      </c>
      <c r="N21" s="5" t="s">
        <v>65</v>
      </c>
      <c r="O21" s="5" t="s">
        <v>290</v>
      </c>
      <c r="P21" s="5">
        <v>33</v>
      </c>
      <c r="Q21" s="5">
        <v>6.6</v>
      </c>
      <c r="R21" s="5">
        <v>5.08</v>
      </c>
      <c r="S21" s="5">
        <v>22.780640438890579</v>
      </c>
      <c r="T21" s="5">
        <v>8.6222022728663799</v>
      </c>
      <c r="U21" s="5">
        <v>11.963100707358</v>
      </c>
      <c r="V21" s="5">
        <v>0.2</v>
      </c>
      <c r="W21" s="5">
        <v>2.4396841679573642</v>
      </c>
      <c r="X21" s="5">
        <v>2</v>
      </c>
      <c r="Y21" s="5">
        <v>5</v>
      </c>
      <c r="Z21" s="5" t="s">
        <v>140</v>
      </c>
      <c r="AA21" s="5" t="s">
        <v>68</v>
      </c>
      <c r="AB21" s="5" t="s">
        <v>164</v>
      </c>
      <c r="AC21" s="6">
        <v>297.855453645235</v>
      </c>
      <c r="AD21" s="7">
        <v>495</v>
      </c>
      <c r="AE21" s="6">
        <v>372.31931705654398</v>
      </c>
      <c r="AF21" s="8">
        <v>-32.332644971298578</v>
      </c>
      <c r="AG21" s="10">
        <v>0.91851098383330398</v>
      </c>
      <c r="AH21" s="9">
        <v>9185.1098383330409</v>
      </c>
      <c r="AI21" s="5" t="s">
        <v>248</v>
      </c>
      <c r="AJ21" s="5" t="s">
        <v>141</v>
      </c>
      <c r="AK21" s="5" t="s">
        <v>142</v>
      </c>
      <c r="AL21" s="5" t="s">
        <v>72</v>
      </c>
      <c r="AM21" s="5" t="s">
        <v>291</v>
      </c>
      <c r="AN21" s="5" t="s">
        <v>292</v>
      </c>
      <c r="AO21" s="5" t="s">
        <v>293</v>
      </c>
      <c r="AP21" s="5" t="s">
        <v>294</v>
      </c>
      <c r="AQ21" s="5" t="s">
        <v>295</v>
      </c>
      <c r="AR21" s="8">
        <v>14.650000170490401</v>
      </c>
      <c r="AS21" s="8">
        <v>10</v>
      </c>
      <c r="AT21" s="5">
        <v>25.414287853689</v>
      </c>
      <c r="AU21" s="5"/>
      <c r="AV21" s="5">
        <v>0.623</v>
      </c>
      <c r="AW21" s="5">
        <v>33.631399999999999</v>
      </c>
      <c r="AX21" s="5">
        <v>5.9738593</v>
      </c>
      <c r="AY21" s="5">
        <v>75</v>
      </c>
      <c r="AZ21" s="5">
        <v>29.494215820292599</v>
      </c>
      <c r="BA21" s="5">
        <v>75</v>
      </c>
      <c r="BB21" s="5"/>
      <c r="BC21" s="5" t="s">
        <v>78</v>
      </c>
      <c r="BD21" s="5" t="s">
        <v>119</v>
      </c>
      <c r="BE21" s="5"/>
      <c r="BF21" s="5"/>
      <c r="BG21" s="5" t="s">
        <v>296</v>
      </c>
      <c r="BH21" s="5" t="s">
        <v>81</v>
      </c>
    </row>
    <row r="22" spans="1:60" ht="15" customHeight="1" x14ac:dyDescent="0.25">
      <c r="A22" s="5">
        <v>21</v>
      </c>
      <c r="B22" s="5" t="s">
        <v>297</v>
      </c>
      <c r="C22" s="5" t="s">
        <v>298</v>
      </c>
      <c r="D22" s="5" t="s">
        <v>215</v>
      </c>
      <c r="E22" s="5" t="s">
        <v>299</v>
      </c>
      <c r="F22" s="5">
        <v>46720446464</v>
      </c>
      <c r="G22" s="5" t="s">
        <v>137</v>
      </c>
      <c r="H22" s="5" t="s">
        <v>173</v>
      </c>
      <c r="I22" s="10">
        <v>10</v>
      </c>
      <c r="J22" s="10">
        <v>0</v>
      </c>
      <c r="K22" s="5">
        <v>45</v>
      </c>
      <c r="L22" s="5">
        <v>100</v>
      </c>
      <c r="M22" s="5" t="s">
        <v>300</v>
      </c>
      <c r="N22" s="5" t="s">
        <v>65</v>
      </c>
      <c r="O22" s="5" t="s">
        <v>301</v>
      </c>
      <c r="P22" s="5">
        <v>62.7</v>
      </c>
      <c r="Q22" s="5">
        <v>8.36</v>
      </c>
      <c r="R22" s="5">
        <v>6.97</v>
      </c>
      <c r="S22" s="5">
        <v>42.54691211681061</v>
      </c>
      <c r="T22" s="5">
        <v>8.8702678567668691</v>
      </c>
      <c r="U22" s="5">
        <v>2.2334238233355199</v>
      </c>
      <c r="V22" s="5">
        <v>1.2</v>
      </c>
      <c r="W22" s="5">
        <v>1.3001576048393979</v>
      </c>
      <c r="X22" s="5">
        <v>7.5</v>
      </c>
      <c r="Y22" s="5">
        <v>-43</v>
      </c>
      <c r="Z22" s="5" t="s">
        <v>140</v>
      </c>
      <c r="AA22" s="5" t="s">
        <v>68</v>
      </c>
      <c r="AB22" s="5" t="s">
        <v>176</v>
      </c>
      <c r="AC22" s="6">
        <v>112.00768927292199</v>
      </c>
      <c r="AD22" s="7">
        <v>230</v>
      </c>
      <c r="AE22" s="6">
        <v>140.009611591153</v>
      </c>
      <c r="AF22" s="8">
        <v>-65.460069039030856</v>
      </c>
      <c r="AG22" s="10" t="str">
        <f>IF(H22="Fail","Not Eligible (Failed Gate)",IF(J22="","Pending Score",IF(J22&gt;=90,"10%",IF(J22&gt;=80,"7.5%",IF(J22&gt;=70,"5%","Watchlist only")))))</f>
        <v>Watchlist only</v>
      </c>
      <c r="AH22" s="9" t="str">
        <f>IFERROR(ROUND(VALUE(SUBSTITUTE(AG22,"%",""))/100*Dashboard!$B$11,0),"")</f>
        <v/>
      </c>
      <c r="AI22" s="5" t="s">
        <v>268</v>
      </c>
      <c r="AJ22" s="5" t="s">
        <v>141</v>
      </c>
      <c r="AK22" s="5" t="s">
        <v>142</v>
      </c>
      <c r="AL22" s="5" t="s">
        <v>72</v>
      </c>
      <c r="AM22" s="5" t="s">
        <v>302</v>
      </c>
      <c r="AN22" s="5" t="s">
        <v>303</v>
      </c>
      <c r="AO22" s="5" t="s">
        <v>304</v>
      </c>
      <c r="AP22" s="5" t="s">
        <v>305</v>
      </c>
      <c r="AQ22" s="5" t="s">
        <v>306</v>
      </c>
      <c r="AR22" s="8">
        <v>3.4299999651009001</v>
      </c>
      <c r="AS22" s="8">
        <v>8.9719999999999995</v>
      </c>
      <c r="AT22" s="5">
        <v>40.819128743776297</v>
      </c>
      <c r="AU22" s="5"/>
      <c r="AV22" s="5">
        <v>-0.19500000000000001</v>
      </c>
      <c r="AW22" s="5">
        <v>67.539360000000002</v>
      </c>
      <c r="AX22" s="5">
        <v>6.0060669999999998</v>
      </c>
      <c r="AY22" s="5">
        <v>75</v>
      </c>
      <c r="AZ22" s="5">
        <v>100</v>
      </c>
      <c r="BA22" s="5">
        <v>75</v>
      </c>
      <c r="BB22" s="5"/>
      <c r="BC22" s="5" t="s">
        <v>78</v>
      </c>
      <c r="BD22" s="5" t="s">
        <v>119</v>
      </c>
      <c r="BE22" s="5"/>
      <c r="BF22" s="5"/>
      <c r="BG22" s="5" t="s">
        <v>80</v>
      </c>
      <c r="BH22" s="5" t="s">
        <v>274</v>
      </c>
    </row>
    <row r="23" spans="1:60" ht="15" customHeight="1" x14ac:dyDescent="0.25">
      <c r="A23" s="5">
        <v>22</v>
      </c>
      <c r="B23" s="5" t="s">
        <v>307</v>
      </c>
      <c r="C23" s="5" t="s">
        <v>308</v>
      </c>
      <c r="D23" s="5" t="s">
        <v>202</v>
      </c>
      <c r="E23" s="5" t="s">
        <v>309</v>
      </c>
      <c r="F23" s="5">
        <v>1335551197184</v>
      </c>
      <c r="G23" s="5" t="s">
        <v>137</v>
      </c>
      <c r="H23" s="5" t="s">
        <v>63</v>
      </c>
      <c r="I23" s="10">
        <v>33.3333333333333</v>
      </c>
      <c r="J23" s="10">
        <v>0</v>
      </c>
      <c r="K23" s="5">
        <v>50</v>
      </c>
      <c r="L23" s="5">
        <v>60</v>
      </c>
      <c r="M23" s="5" t="s">
        <v>310</v>
      </c>
      <c r="N23" s="5" t="s">
        <v>311</v>
      </c>
      <c r="O23" s="5" t="s">
        <v>312</v>
      </c>
      <c r="P23" s="5">
        <v>6.5</v>
      </c>
      <c r="Q23" s="5">
        <v>0.43</v>
      </c>
      <c r="R23" s="5">
        <v>0.39</v>
      </c>
      <c r="S23" s="5"/>
      <c r="T23" s="5">
        <v>14.9335779967161</v>
      </c>
      <c r="U23" s="5">
        <v>10.26</v>
      </c>
      <c r="V23" s="5">
        <v>8.25</v>
      </c>
      <c r="W23" s="5">
        <v>-0.40962431094281587</v>
      </c>
      <c r="X23" s="5">
        <v>10</v>
      </c>
      <c r="Y23" s="5">
        <v>15</v>
      </c>
      <c r="Z23" s="5" t="s">
        <v>140</v>
      </c>
      <c r="AA23" s="5" t="s">
        <v>68</v>
      </c>
      <c r="AB23" s="5" t="s">
        <v>176</v>
      </c>
      <c r="AC23" s="6">
        <v>706.17089291322202</v>
      </c>
      <c r="AD23" s="7">
        <v>423</v>
      </c>
      <c r="AE23" s="6">
        <v>882.71361614152704</v>
      </c>
      <c r="AF23" s="8">
        <v>54.152740753110393</v>
      </c>
      <c r="AG23" s="10">
        <v>5.7225105007314203E-2</v>
      </c>
      <c r="AH23" s="9">
        <v>572.25105007314198</v>
      </c>
      <c r="AI23" s="5" t="s">
        <v>313</v>
      </c>
      <c r="AJ23" s="5" t="s">
        <v>314</v>
      </c>
      <c r="AK23" s="5" t="s">
        <v>142</v>
      </c>
      <c r="AL23" s="5" t="s">
        <v>72</v>
      </c>
      <c r="AM23" s="5" t="s">
        <v>315</v>
      </c>
      <c r="AN23" s="5" t="s">
        <v>316</v>
      </c>
      <c r="AO23" s="5" t="s">
        <v>317</v>
      </c>
      <c r="AP23" s="5" t="s">
        <v>318</v>
      </c>
      <c r="AQ23" s="5" t="s">
        <v>319</v>
      </c>
      <c r="AR23" s="8">
        <v>76.679999870950596</v>
      </c>
      <c r="AS23" s="8">
        <v>16.125161809320002</v>
      </c>
      <c r="AT23" s="5">
        <v>11.5116538359615</v>
      </c>
      <c r="AU23" s="5">
        <v>3.82</v>
      </c>
      <c r="AV23" s="5">
        <v>0.62</v>
      </c>
      <c r="AW23" s="5">
        <v>5.2777779999999996</v>
      </c>
      <c r="AX23" s="5">
        <v>1.0051486000000001</v>
      </c>
      <c r="AY23" s="5">
        <v>50</v>
      </c>
      <c r="AZ23" s="5">
        <v>100</v>
      </c>
      <c r="BA23" s="5">
        <v>50</v>
      </c>
      <c r="BB23" s="5"/>
      <c r="BC23" s="5" t="s">
        <v>211</v>
      </c>
      <c r="BD23" s="5" t="s">
        <v>119</v>
      </c>
      <c r="BE23" s="5"/>
      <c r="BF23" s="5"/>
      <c r="BG23" s="5" t="s">
        <v>93</v>
      </c>
      <c r="BH23" s="5" t="s">
        <v>81</v>
      </c>
    </row>
    <row r="24" spans="1:60" ht="15" customHeight="1" x14ac:dyDescent="0.25">
      <c r="A24" s="5">
        <v>23</v>
      </c>
      <c r="B24" s="5" t="s">
        <v>320</v>
      </c>
      <c r="C24" s="5" t="s">
        <v>321</v>
      </c>
      <c r="D24" s="5" t="s">
        <v>322</v>
      </c>
      <c r="E24" s="5" t="s">
        <v>323</v>
      </c>
      <c r="F24" s="5">
        <v>3547719008256</v>
      </c>
      <c r="G24" s="5" t="s">
        <v>137</v>
      </c>
      <c r="H24" s="5" t="s">
        <v>63</v>
      </c>
      <c r="I24" s="10">
        <v>77</v>
      </c>
      <c r="J24" s="10">
        <v>46.738920948894297</v>
      </c>
      <c r="K24" s="5">
        <v>80</v>
      </c>
      <c r="L24" s="5">
        <v>100</v>
      </c>
      <c r="M24" s="5" t="s">
        <v>324</v>
      </c>
      <c r="N24" s="5" t="s">
        <v>65</v>
      </c>
      <c r="O24" s="5" t="s">
        <v>325</v>
      </c>
      <c r="P24" s="5">
        <v>17.600000000000001</v>
      </c>
      <c r="Q24" s="5">
        <v>3.52</v>
      </c>
      <c r="R24" s="5">
        <v>2.71</v>
      </c>
      <c r="S24" s="5">
        <v>13.943582390744639</v>
      </c>
      <c r="T24" s="5">
        <v>28.391124726270402</v>
      </c>
      <c r="U24" s="5">
        <v>33.195646825482797</v>
      </c>
      <c r="V24" s="5">
        <v>0.03</v>
      </c>
      <c r="W24" s="5">
        <v>4.5619825101717373</v>
      </c>
      <c r="X24" s="5">
        <v>9.8699999999999992</v>
      </c>
      <c r="Y24" s="5">
        <v>5</v>
      </c>
      <c r="Z24" s="5" t="s">
        <v>140</v>
      </c>
      <c r="AA24" s="5" t="s">
        <v>68</v>
      </c>
      <c r="AB24" s="5" t="s">
        <v>69</v>
      </c>
      <c r="AC24" s="6">
        <v>165.06173531830601</v>
      </c>
      <c r="AD24" s="7">
        <v>289</v>
      </c>
      <c r="AE24" s="6">
        <v>206.32716914788199</v>
      </c>
      <c r="AF24" s="8">
        <v>-37.233502097368422</v>
      </c>
      <c r="AG24" s="10">
        <v>6.4438370751406637</v>
      </c>
      <c r="AH24" s="9">
        <v>64438.370751406641</v>
      </c>
      <c r="AI24" s="5" t="s">
        <v>137</v>
      </c>
      <c r="AJ24" s="5" t="s">
        <v>141</v>
      </c>
      <c r="AK24" s="5" t="s">
        <v>326</v>
      </c>
      <c r="AL24" s="5" t="s">
        <v>72</v>
      </c>
      <c r="AM24" s="5" t="s">
        <v>327</v>
      </c>
      <c r="AN24" s="5" t="s">
        <v>328</v>
      </c>
      <c r="AO24" s="5" t="s">
        <v>329</v>
      </c>
      <c r="AP24" s="5" t="s">
        <v>330</v>
      </c>
      <c r="AQ24" s="5" t="s">
        <v>158</v>
      </c>
      <c r="AR24" s="8">
        <v>16.049999208181099</v>
      </c>
      <c r="AS24" s="8">
        <v>5</v>
      </c>
      <c r="AT24" s="5">
        <v>12.8552753363167</v>
      </c>
      <c r="AU24" s="5">
        <v>5.54</v>
      </c>
      <c r="AV24" s="5">
        <v>-8.1000000000000003E-2</v>
      </c>
      <c r="AW24" s="5">
        <v>17.641745</v>
      </c>
      <c r="AX24" s="5">
        <v>4.8929476999999997</v>
      </c>
      <c r="AY24" s="5">
        <v>100</v>
      </c>
      <c r="AZ24" s="5">
        <v>3.2925217041917598</v>
      </c>
      <c r="BA24" s="5">
        <v>100</v>
      </c>
      <c r="BB24" s="5"/>
      <c r="BC24" s="5" t="s">
        <v>78</v>
      </c>
      <c r="BD24" s="5" t="s">
        <v>79</v>
      </c>
      <c r="BE24" s="5"/>
      <c r="BF24" s="5"/>
      <c r="BG24" s="5" t="s">
        <v>296</v>
      </c>
      <c r="BH24" s="5" t="s">
        <v>81</v>
      </c>
    </row>
    <row r="25" spans="1:60" ht="15" customHeight="1" x14ac:dyDescent="0.25">
      <c r="A25" s="5">
        <v>24</v>
      </c>
      <c r="B25" s="5" t="s">
        <v>331</v>
      </c>
      <c r="C25" s="5" t="s">
        <v>332</v>
      </c>
      <c r="D25" s="5" t="s">
        <v>215</v>
      </c>
      <c r="E25" s="5" t="s">
        <v>288</v>
      </c>
      <c r="F25" s="5">
        <v>2023595835392</v>
      </c>
      <c r="G25" s="5" t="s">
        <v>137</v>
      </c>
      <c r="H25" s="5" t="s">
        <v>63</v>
      </c>
      <c r="I25" s="10">
        <v>72</v>
      </c>
      <c r="J25" s="10">
        <v>35.262864962958403</v>
      </c>
      <c r="K25" s="5">
        <v>80</v>
      </c>
      <c r="L25" s="5">
        <v>100</v>
      </c>
      <c r="M25" s="5" t="s">
        <v>333</v>
      </c>
      <c r="N25" s="5" t="s">
        <v>65</v>
      </c>
      <c r="O25" s="5" t="s">
        <v>334</v>
      </c>
      <c r="P25" s="5">
        <v>38</v>
      </c>
      <c r="Q25" s="5">
        <v>2.11</v>
      </c>
      <c r="R25" s="5">
        <v>1.95</v>
      </c>
      <c r="S25" s="5">
        <v>40.981099670192329</v>
      </c>
      <c r="T25" s="5">
        <v>21.9728965763153</v>
      </c>
      <c r="U25" s="5">
        <v>18.219515556246598</v>
      </c>
      <c r="V25" s="5">
        <v>0.05</v>
      </c>
      <c r="W25" s="5">
        <v>1.7418047651353441</v>
      </c>
      <c r="X25" s="5">
        <v>15.6</v>
      </c>
      <c r="Y25" s="5">
        <v>18</v>
      </c>
      <c r="Z25" s="5" t="s">
        <v>140</v>
      </c>
      <c r="AA25" s="5" t="s">
        <v>68</v>
      </c>
      <c r="AB25" s="5" t="s">
        <v>69</v>
      </c>
      <c r="AC25" s="6">
        <v>3043.7983299533598</v>
      </c>
      <c r="AD25" s="7">
        <v>7454</v>
      </c>
      <c r="AE25" s="6">
        <v>3804.74791244171</v>
      </c>
      <c r="AF25" s="8">
        <v>-93.75790905603003</v>
      </c>
      <c r="AG25" s="10">
        <v>4.8616474666252536</v>
      </c>
      <c r="AH25" s="9">
        <v>48616.474666252529</v>
      </c>
      <c r="AI25" s="5" t="s">
        <v>137</v>
      </c>
      <c r="AJ25" s="5" t="s">
        <v>141</v>
      </c>
      <c r="AK25" s="5" t="s">
        <v>142</v>
      </c>
      <c r="AL25" s="5" t="s">
        <v>72</v>
      </c>
      <c r="AM25" s="5" t="s">
        <v>335</v>
      </c>
      <c r="AN25" s="5" t="s">
        <v>336</v>
      </c>
      <c r="AO25" s="5" t="s">
        <v>337</v>
      </c>
      <c r="AP25" s="5" t="s">
        <v>338</v>
      </c>
      <c r="AQ25" s="5" t="s">
        <v>339</v>
      </c>
      <c r="AR25" s="8">
        <v>200.46001635349501</v>
      </c>
      <c r="AS25" s="8">
        <v>15.4840062</v>
      </c>
      <c r="AT25" s="5">
        <v>18.980085365867001</v>
      </c>
      <c r="AU25" s="5">
        <v>1.0900000000000001</v>
      </c>
      <c r="AV25" s="5">
        <v>0.27500000000000002</v>
      </c>
      <c r="AW25" s="5">
        <v>36.775413999999998</v>
      </c>
      <c r="AX25" s="5">
        <v>8.0565660000000001</v>
      </c>
      <c r="AY25" s="5">
        <v>100</v>
      </c>
      <c r="AZ25" s="5">
        <v>2.0475973251155901</v>
      </c>
      <c r="BA25" s="5">
        <v>100</v>
      </c>
      <c r="BB25" s="5"/>
      <c r="BC25" s="5" t="s">
        <v>78</v>
      </c>
      <c r="BD25" s="5" t="s">
        <v>340</v>
      </c>
      <c r="BE25" s="5"/>
      <c r="BF25" s="5"/>
      <c r="BG25" s="5" t="s">
        <v>80</v>
      </c>
      <c r="BH25" s="5" t="s">
        <v>81</v>
      </c>
    </row>
    <row r="26" spans="1:60" ht="15" customHeight="1" x14ac:dyDescent="0.25">
      <c r="A26" s="5">
        <v>25</v>
      </c>
      <c r="B26" s="5" t="s">
        <v>341</v>
      </c>
      <c r="C26" s="5" t="s">
        <v>342</v>
      </c>
      <c r="D26" s="5" t="s">
        <v>202</v>
      </c>
      <c r="E26" s="5" t="s">
        <v>309</v>
      </c>
      <c r="F26" s="5">
        <v>248624234496</v>
      </c>
      <c r="G26" s="5" t="s">
        <v>137</v>
      </c>
      <c r="H26" s="5" t="s">
        <v>173</v>
      </c>
      <c r="I26" s="10">
        <v>35</v>
      </c>
      <c r="J26" s="10">
        <v>0</v>
      </c>
      <c r="K26" s="5">
        <v>55</v>
      </c>
      <c r="L26" s="5">
        <v>100</v>
      </c>
      <c r="M26" s="5" t="s">
        <v>343</v>
      </c>
      <c r="N26" s="5" t="s">
        <v>65</v>
      </c>
      <c r="O26" s="5" t="s">
        <v>344</v>
      </c>
      <c r="P26" s="5">
        <v>41.9</v>
      </c>
      <c r="Q26" s="5">
        <v>7.0000000000000007E-2</v>
      </c>
      <c r="R26" s="5">
        <v>7.0000000000000007E-2</v>
      </c>
      <c r="S26" s="5"/>
      <c r="T26" s="5">
        <v>9.9160317510918397</v>
      </c>
      <c r="U26" s="5">
        <v>14.8115365111698</v>
      </c>
      <c r="V26" s="5">
        <v>2.96</v>
      </c>
      <c r="W26" s="5"/>
      <c r="X26" s="5">
        <v>14</v>
      </c>
      <c r="Y26" s="5">
        <v>619</v>
      </c>
      <c r="Z26" s="5" t="s">
        <v>140</v>
      </c>
      <c r="AA26" s="5" t="s">
        <v>68</v>
      </c>
      <c r="AB26" s="5" t="s">
        <v>176</v>
      </c>
      <c r="AC26" s="6">
        <v>584.23571735609403</v>
      </c>
      <c r="AD26" s="7">
        <v>1460</v>
      </c>
      <c r="AE26" s="6">
        <v>730.29464669511697</v>
      </c>
      <c r="AF26" s="8">
        <v>-112.5169624374816</v>
      </c>
      <c r="AG26" s="10" t="str">
        <f>IF(H26="Fail","Not Eligible (Failed Gate)",IF(J26="","Pending Score",IF(J26&gt;=90,"10%",IF(J26&gt;=80,"7.5%",IF(J26&gt;=70,"5%","Watchlist only")))))</f>
        <v>Watchlist only</v>
      </c>
      <c r="AH26" s="9" t="str">
        <f>IFERROR(ROUND(VALUE(SUBSTITUTE(AG26,"%",""))/100*Dashboard!$B$11,0),"")</f>
        <v/>
      </c>
      <c r="AI26" s="5" t="s">
        <v>345</v>
      </c>
      <c r="AJ26" s="5" t="s">
        <v>141</v>
      </c>
      <c r="AK26" s="5" t="s">
        <v>142</v>
      </c>
      <c r="AL26" s="5" t="s">
        <v>72</v>
      </c>
      <c r="AM26" s="5" t="s">
        <v>346</v>
      </c>
      <c r="AN26" s="5" t="s">
        <v>347</v>
      </c>
      <c r="AO26" s="5" t="s">
        <v>348</v>
      </c>
      <c r="AP26" s="5" t="s">
        <v>349</v>
      </c>
      <c r="AQ26" s="5" t="s">
        <v>350</v>
      </c>
      <c r="AR26" s="8">
        <v>48.420000891706898</v>
      </c>
      <c r="AS26" s="8">
        <v>10.5100006</v>
      </c>
      <c r="AT26" s="5">
        <v>15.082499931745501</v>
      </c>
      <c r="AU26" s="5"/>
      <c r="AV26" s="5">
        <v>0.184</v>
      </c>
      <c r="AW26" s="5">
        <v>32.052869999999999</v>
      </c>
      <c r="AX26" s="5">
        <v>3.1703166999999999</v>
      </c>
      <c r="AY26" s="5">
        <v>25</v>
      </c>
      <c r="AZ26" s="5">
        <v>100</v>
      </c>
      <c r="BA26" s="5">
        <v>25</v>
      </c>
      <c r="BB26" s="5"/>
      <c r="BC26" s="5" t="s">
        <v>78</v>
      </c>
      <c r="BD26" s="5" t="s">
        <v>119</v>
      </c>
      <c r="BE26" s="5"/>
      <c r="BF26" s="5"/>
      <c r="BG26" s="5" t="s">
        <v>80</v>
      </c>
      <c r="BH26" s="5" t="s">
        <v>81</v>
      </c>
    </row>
    <row r="27" spans="1:60" ht="15" customHeight="1" x14ac:dyDescent="0.25">
      <c r="A27" s="5">
        <v>26</v>
      </c>
      <c r="B27" s="5" t="s">
        <v>351</v>
      </c>
      <c r="C27" s="5" t="s">
        <v>352</v>
      </c>
      <c r="D27" s="5" t="s">
        <v>202</v>
      </c>
      <c r="E27" s="5" t="s">
        <v>203</v>
      </c>
      <c r="F27" s="5">
        <v>1189289787392</v>
      </c>
      <c r="G27" s="5" t="s">
        <v>137</v>
      </c>
      <c r="H27" s="5" t="s">
        <v>161</v>
      </c>
      <c r="I27" s="5">
        <v>16.6666666666667</v>
      </c>
      <c r="J27" s="5">
        <v>0</v>
      </c>
      <c r="K27" s="5">
        <v>70</v>
      </c>
      <c r="L27" s="5">
        <v>60</v>
      </c>
      <c r="M27" s="5" t="s">
        <v>353</v>
      </c>
      <c r="N27" s="5" t="s">
        <v>65</v>
      </c>
      <c r="O27" s="5" t="s">
        <v>354</v>
      </c>
      <c r="P27" s="5">
        <v>7.3</v>
      </c>
      <c r="Q27" s="5">
        <v>0.74</v>
      </c>
      <c r="R27" s="5">
        <v>0.65</v>
      </c>
      <c r="S27" s="5"/>
      <c r="T27" s="5">
        <v>12.2079359890616</v>
      </c>
      <c r="U27" s="5">
        <v>15.27</v>
      </c>
      <c r="V27" s="5">
        <v>0.66</v>
      </c>
      <c r="W27" s="5">
        <v>57.490646958924408</v>
      </c>
      <c r="X27" s="5">
        <v>9.8000000000000007</v>
      </c>
      <c r="Y27" s="5">
        <v>-46</v>
      </c>
      <c r="Z27" s="5" t="s">
        <v>140</v>
      </c>
      <c r="AA27" s="5" t="s">
        <v>68</v>
      </c>
      <c r="AB27" s="5" t="s">
        <v>69</v>
      </c>
      <c r="AC27" s="6">
        <v>377.846784500929</v>
      </c>
      <c r="AD27" s="7">
        <v>106</v>
      </c>
      <c r="AE27" s="6">
        <v>472.30848062616099</v>
      </c>
      <c r="AF27" s="8">
        <v>78.090590314446246</v>
      </c>
      <c r="AG27" s="10">
        <v>0.56555362603510495</v>
      </c>
      <c r="AH27" s="9">
        <v>5655.5362603510503</v>
      </c>
      <c r="AI27" s="5" t="s">
        <v>137</v>
      </c>
      <c r="AJ27" s="5" t="s">
        <v>141</v>
      </c>
      <c r="AK27" s="5" t="s">
        <v>142</v>
      </c>
      <c r="AL27" s="5" t="s">
        <v>72</v>
      </c>
      <c r="AM27" s="5" t="s">
        <v>355</v>
      </c>
      <c r="AN27" s="5" t="s">
        <v>356</v>
      </c>
      <c r="AO27" s="5" t="s">
        <v>357</v>
      </c>
      <c r="AP27" s="5" t="s">
        <v>358</v>
      </c>
      <c r="AQ27" s="5" t="s">
        <v>359</v>
      </c>
      <c r="AR27" s="8">
        <v>15.5700003272598</v>
      </c>
      <c r="AS27" s="8">
        <v>10.6308197597</v>
      </c>
      <c r="AT27" s="5">
        <v>30.334520271429799</v>
      </c>
      <c r="AU27" s="5">
        <v>2.89</v>
      </c>
      <c r="AV27" s="5">
        <v>0.52700000000000002</v>
      </c>
      <c r="AW27" s="5">
        <v>6.646115</v>
      </c>
      <c r="AX27" s="5">
        <v>0.79300493000000005</v>
      </c>
      <c r="AY27" s="5">
        <v>60</v>
      </c>
      <c r="AZ27" s="5">
        <v>57.259543314743098</v>
      </c>
      <c r="BA27" s="5">
        <v>100</v>
      </c>
      <c r="BB27" s="5"/>
      <c r="BC27" s="5" t="s">
        <v>211</v>
      </c>
      <c r="BD27" s="5" t="s">
        <v>119</v>
      </c>
      <c r="BE27" s="5"/>
      <c r="BF27" s="5"/>
      <c r="BG27" s="5" t="s">
        <v>93</v>
      </c>
      <c r="BH27" s="5" t="s">
        <v>360</v>
      </c>
    </row>
    <row r="28" spans="1:60" ht="15" customHeight="1" x14ac:dyDescent="0.25">
      <c r="A28" s="5">
        <v>27</v>
      </c>
      <c r="B28" s="5" t="s">
        <v>361</v>
      </c>
      <c r="C28" s="5" t="s">
        <v>362</v>
      </c>
      <c r="D28" s="5" t="s">
        <v>60</v>
      </c>
      <c r="E28" s="5" t="s">
        <v>61</v>
      </c>
      <c r="F28" s="5">
        <v>651331043328</v>
      </c>
      <c r="G28" s="5" t="s">
        <v>363</v>
      </c>
      <c r="H28" s="5" t="s">
        <v>173</v>
      </c>
      <c r="I28" s="10">
        <v>79</v>
      </c>
      <c r="J28" s="10">
        <v>36.530339028572598</v>
      </c>
      <c r="K28" s="5">
        <v>93</v>
      </c>
      <c r="L28" s="5">
        <v>100</v>
      </c>
      <c r="M28" s="5" t="s">
        <v>364</v>
      </c>
      <c r="N28" s="5" t="s">
        <v>365</v>
      </c>
      <c r="O28" s="5" t="s">
        <v>366</v>
      </c>
      <c r="P28" s="5">
        <v>37</v>
      </c>
      <c r="Q28" s="5">
        <v>0.4</v>
      </c>
      <c r="R28" s="5">
        <v>0.4</v>
      </c>
      <c r="S28" s="5">
        <v>27.452021286868259</v>
      </c>
      <c r="T28" s="5">
        <v>16.070284899696301</v>
      </c>
      <c r="U28" s="5">
        <v>21.0890117731003</v>
      </c>
      <c r="V28" s="5">
        <v>0.7</v>
      </c>
      <c r="W28" s="5">
        <v>1.6163843488095091</v>
      </c>
      <c r="X28" s="5">
        <v>35.9</v>
      </c>
      <c r="Y28" s="5">
        <v>91.6</v>
      </c>
      <c r="Z28" s="5" t="s">
        <v>140</v>
      </c>
      <c r="AA28" s="5" t="s">
        <v>68</v>
      </c>
      <c r="AB28" s="5" t="s">
        <v>69</v>
      </c>
      <c r="AC28" s="6">
        <v>565.49707544004298</v>
      </c>
      <c r="AD28" s="7">
        <v>1464</v>
      </c>
      <c r="AE28" s="6">
        <v>706.87134430005403</v>
      </c>
      <c r="AF28" s="8">
        <v>-108.14254416507519</v>
      </c>
      <c r="AG28" s="10">
        <v>2.7143635544891298</v>
      </c>
      <c r="AH28" s="9">
        <v>27143.635544891298</v>
      </c>
      <c r="AI28" s="5" t="s">
        <v>363</v>
      </c>
      <c r="AJ28" s="5" t="s">
        <v>141</v>
      </c>
      <c r="AK28" s="5" t="s">
        <v>142</v>
      </c>
      <c r="AL28" s="5" t="s">
        <v>72</v>
      </c>
      <c r="AM28" s="5" t="s">
        <v>367</v>
      </c>
      <c r="AN28" s="5" t="s">
        <v>368</v>
      </c>
      <c r="AO28" s="5" t="s">
        <v>369</v>
      </c>
      <c r="AP28" s="5" t="s">
        <v>370</v>
      </c>
      <c r="AQ28" s="5" t="s">
        <v>371</v>
      </c>
      <c r="AR28" s="8">
        <v>41.789998241325598</v>
      </c>
      <c r="AS28" s="8">
        <v>11.89214301142</v>
      </c>
      <c r="AT28" s="5">
        <v>16.9148443240022</v>
      </c>
      <c r="AU28" s="5">
        <v>1.06</v>
      </c>
      <c r="AV28" s="5">
        <v>0.23</v>
      </c>
      <c r="AW28" s="5">
        <v>35.206989999999998</v>
      </c>
      <c r="AX28" s="5">
        <v>5.1813086999999998</v>
      </c>
      <c r="AY28" s="5">
        <v>100</v>
      </c>
      <c r="AZ28" s="5">
        <v>7.5181290415883302</v>
      </c>
      <c r="BA28" s="5">
        <v>100</v>
      </c>
      <c r="BB28" s="5"/>
      <c r="BC28" s="5" t="s">
        <v>78</v>
      </c>
      <c r="BD28" s="5" t="s">
        <v>79</v>
      </c>
      <c r="BE28" s="5"/>
      <c r="BF28" s="5"/>
      <c r="BG28" s="5" t="s">
        <v>80</v>
      </c>
      <c r="BH28" s="5" t="s">
        <v>81</v>
      </c>
    </row>
    <row r="29" spans="1:60" ht="15" customHeight="1" x14ac:dyDescent="0.25">
      <c r="A29" s="5">
        <v>28</v>
      </c>
      <c r="B29" s="5" t="s">
        <v>372</v>
      </c>
      <c r="C29" s="5" t="s">
        <v>373</v>
      </c>
      <c r="D29" s="5" t="s">
        <v>60</v>
      </c>
      <c r="E29" s="5" t="s">
        <v>374</v>
      </c>
      <c r="F29" s="5">
        <v>491868094464</v>
      </c>
      <c r="G29" s="5" t="s">
        <v>363</v>
      </c>
      <c r="H29" s="5" t="s">
        <v>173</v>
      </c>
      <c r="I29" s="10">
        <v>72.5</v>
      </c>
      <c r="J29" s="10">
        <v>5.0730347590295199</v>
      </c>
      <c r="K29" s="5">
        <v>80</v>
      </c>
      <c r="L29" s="5">
        <v>100</v>
      </c>
      <c r="M29" s="5" t="s">
        <v>375</v>
      </c>
      <c r="N29" s="5" t="s">
        <v>65</v>
      </c>
      <c r="O29" s="5" t="s">
        <v>376</v>
      </c>
      <c r="P29" s="5">
        <v>30.8</v>
      </c>
      <c r="Q29" s="5">
        <v>0.51</v>
      </c>
      <c r="R29" s="5">
        <v>0.5</v>
      </c>
      <c r="S29" s="5">
        <v>26.720657819923929</v>
      </c>
      <c r="T29" s="5">
        <v>35.026478054511401</v>
      </c>
      <c r="U29" s="5">
        <v>25.181248560052701</v>
      </c>
      <c r="V29" s="5">
        <v>0.86</v>
      </c>
      <c r="W29" s="5">
        <v>-3.3767904939323778</v>
      </c>
      <c r="X29" s="5">
        <v>44</v>
      </c>
      <c r="Y29" s="5">
        <v>60</v>
      </c>
      <c r="Z29" s="5" t="s">
        <v>140</v>
      </c>
      <c r="AA29" s="5" t="s">
        <v>68</v>
      </c>
      <c r="AB29" s="5" t="s">
        <v>69</v>
      </c>
      <c r="AC29" s="6">
        <v>122.47032965627901</v>
      </c>
      <c r="AD29" s="7">
        <v>1065</v>
      </c>
      <c r="AE29" s="6">
        <v>153.08791207034901</v>
      </c>
      <c r="AF29" s="8">
        <v>-611.94386627936706</v>
      </c>
      <c r="AG29" s="10">
        <v>0.67680611112616496</v>
      </c>
      <c r="AH29" s="9">
        <v>6768.0611112616498</v>
      </c>
      <c r="AI29" s="5" t="s">
        <v>377</v>
      </c>
      <c r="AJ29" s="5" t="s">
        <v>141</v>
      </c>
      <c r="AK29" s="5" t="s">
        <v>142</v>
      </c>
      <c r="AL29" s="5" t="s">
        <v>72</v>
      </c>
      <c r="AM29" s="5" t="s">
        <v>378</v>
      </c>
      <c r="AN29" s="5" t="s">
        <v>379</v>
      </c>
      <c r="AO29" s="5" t="s">
        <v>380</v>
      </c>
      <c r="AP29" s="5" t="s">
        <v>381</v>
      </c>
      <c r="AQ29" s="5" t="s">
        <v>382</v>
      </c>
      <c r="AR29" s="8">
        <v>33.599997167544998</v>
      </c>
      <c r="AS29" s="8">
        <v>25</v>
      </c>
      <c r="AT29" s="5">
        <v>4.5561878592365801</v>
      </c>
      <c r="AU29" s="5">
        <v>0.15</v>
      </c>
      <c r="AV29" s="5"/>
      <c r="AW29" s="5">
        <v>32.437503999999997</v>
      </c>
      <c r="AX29" s="5">
        <v>11.398602</v>
      </c>
      <c r="AY29" s="5">
        <v>50</v>
      </c>
      <c r="AZ29" s="5">
        <v>86.005421354401307</v>
      </c>
      <c r="BA29" s="5">
        <v>50</v>
      </c>
      <c r="BB29" s="5"/>
      <c r="BC29" s="5" t="s">
        <v>78</v>
      </c>
      <c r="BD29" s="5" t="s">
        <v>119</v>
      </c>
      <c r="BE29" s="5"/>
      <c r="BF29" s="5"/>
      <c r="BG29" s="5" t="s">
        <v>148</v>
      </c>
      <c r="BH29" s="5" t="s">
        <v>81</v>
      </c>
    </row>
    <row r="30" spans="1:60" ht="15" customHeight="1" x14ac:dyDescent="0.25">
      <c r="A30" s="5">
        <v>29</v>
      </c>
      <c r="B30" s="5" t="s">
        <v>383</v>
      </c>
      <c r="C30" s="5" t="s">
        <v>384</v>
      </c>
      <c r="D30" s="5" t="s">
        <v>202</v>
      </c>
      <c r="E30" s="5" t="s">
        <v>385</v>
      </c>
      <c r="F30" s="5">
        <v>352983285760</v>
      </c>
      <c r="G30" s="5" t="s">
        <v>363</v>
      </c>
      <c r="H30" s="5" t="s">
        <v>63</v>
      </c>
      <c r="I30" s="10">
        <v>56.6666666666667</v>
      </c>
      <c r="J30" s="10">
        <v>50</v>
      </c>
      <c r="K30" s="5">
        <v>92</v>
      </c>
      <c r="L30" s="5">
        <v>60</v>
      </c>
      <c r="M30" s="5" t="s">
        <v>386</v>
      </c>
      <c r="N30" s="5" t="s">
        <v>65</v>
      </c>
      <c r="O30" s="5" t="s">
        <v>387</v>
      </c>
      <c r="P30" s="5">
        <v>45</v>
      </c>
      <c r="Q30" s="5">
        <v>1.7</v>
      </c>
      <c r="R30" s="5">
        <v>1.61</v>
      </c>
      <c r="S30" s="5"/>
      <c r="T30" s="5">
        <v>7.3760266552954397</v>
      </c>
      <c r="U30" s="5">
        <v>11.65</v>
      </c>
      <c r="V30" s="5">
        <v>0.05</v>
      </c>
      <c r="W30" s="5">
        <v>5.2304212802626182</v>
      </c>
      <c r="X30" s="5">
        <v>26.4</v>
      </c>
      <c r="Y30" s="5">
        <v>-30</v>
      </c>
      <c r="Z30" s="5" t="s">
        <v>140</v>
      </c>
      <c r="AA30" s="5" t="s">
        <v>68</v>
      </c>
      <c r="AB30" s="5" t="s">
        <v>176</v>
      </c>
      <c r="AC30" s="6">
        <v>612.61532748655202</v>
      </c>
      <c r="AD30" s="7">
        <v>587</v>
      </c>
      <c r="AE30" s="6">
        <v>765.76915935819</v>
      </c>
      <c r="AF30" s="8">
        <v>21.66046481908587</v>
      </c>
      <c r="AG30" s="10">
        <v>4.136062800114626</v>
      </c>
      <c r="AH30" s="9">
        <v>41360.628001146259</v>
      </c>
      <c r="AI30" s="5" t="s">
        <v>388</v>
      </c>
      <c r="AJ30" s="5" t="s">
        <v>141</v>
      </c>
      <c r="AK30" s="5" t="s">
        <v>142</v>
      </c>
      <c r="AL30" s="5" t="s">
        <v>72</v>
      </c>
      <c r="AM30" s="5" t="s">
        <v>389</v>
      </c>
      <c r="AN30" s="5" t="s">
        <v>390</v>
      </c>
      <c r="AO30" s="5" t="s">
        <v>391</v>
      </c>
      <c r="AP30" s="5" t="s">
        <v>392</v>
      </c>
      <c r="AQ30" s="5" t="s">
        <v>393</v>
      </c>
      <c r="AR30" s="8">
        <v>9.4899994379425205</v>
      </c>
      <c r="AS30" s="8">
        <v>10</v>
      </c>
      <c r="AT30" s="5">
        <v>80.6922191104521</v>
      </c>
      <c r="AU30" s="5"/>
      <c r="AV30" s="5">
        <v>0.20399999999999999</v>
      </c>
      <c r="AW30" s="5">
        <v>63.213912999999998</v>
      </c>
      <c r="AX30" s="5">
        <v>4.6396693999999998</v>
      </c>
      <c r="AY30" s="5">
        <v>60</v>
      </c>
      <c r="AZ30" s="5">
        <v>6.2241598046408404</v>
      </c>
      <c r="BA30" s="5">
        <v>75</v>
      </c>
      <c r="BB30" s="5"/>
      <c r="BC30" s="5" t="s">
        <v>211</v>
      </c>
      <c r="BD30" s="5" t="s">
        <v>141</v>
      </c>
      <c r="BE30" s="5"/>
      <c r="BF30" s="5"/>
      <c r="BG30" s="5" t="s">
        <v>93</v>
      </c>
      <c r="BH30" s="5" t="s">
        <v>81</v>
      </c>
    </row>
    <row r="31" spans="1:60" ht="15" customHeight="1" x14ac:dyDescent="0.25">
      <c r="A31" s="5">
        <v>30</v>
      </c>
      <c r="B31" s="5" t="s">
        <v>394</v>
      </c>
      <c r="C31" s="5" t="s">
        <v>395</v>
      </c>
      <c r="D31" s="5" t="s">
        <v>60</v>
      </c>
      <c r="E31" s="5" t="s">
        <v>374</v>
      </c>
      <c r="F31" s="5">
        <v>69753217024</v>
      </c>
      <c r="G31" s="5" t="s">
        <v>363</v>
      </c>
      <c r="H31" s="5" t="s">
        <v>173</v>
      </c>
      <c r="I31" s="10">
        <v>55</v>
      </c>
      <c r="J31" s="10">
        <v>36.029459720973769</v>
      </c>
      <c r="K31" s="5">
        <v>40</v>
      </c>
      <c r="L31" s="5">
        <v>100</v>
      </c>
      <c r="M31" s="5" t="s">
        <v>396</v>
      </c>
      <c r="N31" s="5" t="s">
        <v>397</v>
      </c>
      <c r="O31" s="5" t="s">
        <v>398</v>
      </c>
      <c r="P31" s="5">
        <v>16.5</v>
      </c>
      <c r="Q31" s="5">
        <v>7.0000000000000007E-2</v>
      </c>
      <c r="R31" s="5">
        <v>7.0000000000000007E-2</v>
      </c>
      <c r="S31" s="5">
        <v>10.051125352698749</v>
      </c>
      <c r="T31" s="5">
        <v>14.850272747935501</v>
      </c>
      <c r="U31" s="5">
        <v>20.1179226294038</v>
      </c>
      <c r="V31" s="5">
        <v>1.81</v>
      </c>
      <c r="W31" s="5">
        <v>-1.220156995828265</v>
      </c>
      <c r="X31" s="5">
        <v>28.5</v>
      </c>
      <c r="Y31" s="5">
        <v>236</v>
      </c>
      <c r="Z31" s="5" t="s">
        <v>140</v>
      </c>
      <c r="AA31" s="5" t="s">
        <v>68</v>
      </c>
      <c r="AB31" s="5" t="s">
        <v>399</v>
      </c>
      <c r="AC31" s="6">
        <v>130.79777355307201</v>
      </c>
      <c r="AD31" s="7">
        <v>189</v>
      </c>
      <c r="AE31" s="6">
        <v>163.49721694134001</v>
      </c>
      <c r="AF31" s="8">
        <v>-17.739007183874911</v>
      </c>
      <c r="AG31" s="10">
        <v>0.68172729374297802</v>
      </c>
      <c r="AH31" s="9">
        <v>6817.2729374297796</v>
      </c>
      <c r="AI31" s="5" t="s">
        <v>400</v>
      </c>
      <c r="AJ31" s="5" t="s">
        <v>141</v>
      </c>
      <c r="AK31" s="5" t="s">
        <v>142</v>
      </c>
      <c r="AL31" s="5" t="s">
        <v>72</v>
      </c>
      <c r="AM31" s="5" t="s">
        <v>401</v>
      </c>
      <c r="AN31" s="5" t="s">
        <v>402</v>
      </c>
      <c r="AO31" s="5" t="s">
        <v>403</v>
      </c>
      <c r="AP31" s="5" t="s">
        <v>404</v>
      </c>
      <c r="AQ31" s="5" t="s">
        <v>405</v>
      </c>
      <c r="AR31" s="8">
        <v>13.5899992875405</v>
      </c>
      <c r="AS31" s="8">
        <v>21.336001</v>
      </c>
      <c r="AT31" s="5">
        <v>12.0307002900177</v>
      </c>
      <c r="AU31" s="5"/>
      <c r="AV31" s="5"/>
      <c r="AW31" s="5">
        <v>14.164827000000001</v>
      </c>
      <c r="AX31" s="5">
        <v>2.2000503999999999</v>
      </c>
      <c r="AY31" s="5">
        <v>25</v>
      </c>
      <c r="AZ31" s="5">
        <v>20.3655264287699</v>
      </c>
      <c r="BA31" s="5">
        <v>25</v>
      </c>
      <c r="BB31" s="5"/>
      <c r="BC31" s="5" t="s">
        <v>78</v>
      </c>
      <c r="BD31" s="5" t="s">
        <v>340</v>
      </c>
      <c r="BE31" s="5"/>
      <c r="BF31" s="5"/>
      <c r="BG31" s="5" t="s">
        <v>296</v>
      </c>
      <c r="BH31" s="5" t="s">
        <v>81</v>
      </c>
    </row>
    <row r="32" spans="1:60" ht="15" customHeight="1" x14ac:dyDescent="0.25">
      <c r="A32" s="5">
        <v>31</v>
      </c>
      <c r="B32" s="5" t="s">
        <v>406</v>
      </c>
      <c r="C32" s="5" t="s">
        <v>407</v>
      </c>
      <c r="D32" s="5" t="s">
        <v>408</v>
      </c>
      <c r="E32" s="5" t="s">
        <v>409</v>
      </c>
      <c r="F32" s="5">
        <v>99291766784</v>
      </c>
      <c r="G32" s="5" t="s">
        <v>410</v>
      </c>
      <c r="H32" s="5" t="s">
        <v>161</v>
      </c>
      <c r="I32" s="5">
        <v>85</v>
      </c>
      <c r="J32" s="5">
        <v>0</v>
      </c>
      <c r="K32" s="5">
        <v>70</v>
      </c>
      <c r="L32" s="5">
        <v>100</v>
      </c>
      <c r="M32" s="5" t="s">
        <v>411</v>
      </c>
      <c r="N32" s="5" t="s">
        <v>65</v>
      </c>
      <c r="O32" s="5" t="s">
        <v>412</v>
      </c>
      <c r="P32" s="5">
        <v>15.6</v>
      </c>
      <c r="Q32" s="5">
        <v>0.31</v>
      </c>
      <c r="R32" s="5">
        <v>0.3</v>
      </c>
      <c r="S32" s="5">
        <v>10.91972035972449</v>
      </c>
      <c r="T32" s="5">
        <v>20.082023616195499</v>
      </c>
      <c r="U32" s="5">
        <v>25.161829033869299</v>
      </c>
      <c r="V32" s="5">
        <v>0.5</v>
      </c>
      <c r="W32" s="5">
        <v>9.0685010477680237</v>
      </c>
      <c r="X32" s="5">
        <v>89</v>
      </c>
      <c r="Y32" s="5">
        <v>50</v>
      </c>
      <c r="Z32" s="5" t="s">
        <v>140</v>
      </c>
      <c r="AA32" s="5" t="s">
        <v>68</v>
      </c>
      <c r="AB32" s="5" t="s">
        <v>69</v>
      </c>
      <c r="AC32" s="6">
        <v>411.64973257836698</v>
      </c>
      <c r="AD32" s="7">
        <v>220</v>
      </c>
      <c r="AE32" s="6">
        <v>514.56216572295796</v>
      </c>
      <c r="AF32" s="8">
        <v>60.304116080315531</v>
      </c>
      <c r="AG32" s="10">
        <v>7.0187549230051403</v>
      </c>
      <c r="AH32" s="9">
        <v>70187.549230051402</v>
      </c>
      <c r="AI32" s="5" t="s">
        <v>410</v>
      </c>
      <c r="AJ32" s="5" t="s">
        <v>141</v>
      </c>
      <c r="AK32" s="5" t="s">
        <v>142</v>
      </c>
      <c r="AL32" s="5" t="s">
        <v>72</v>
      </c>
      <c r="AM32" s="5" t="s">
        <v>413</v>
      </c>
      <c r="AN32" s="5" t="s">
        <v>414</v>
      </c>
      <c r="AO32" s="5" t="s">
        <v>415</v>
      </c>
      <c r="AP32" s="5" t="s">
        <v>416</v>
      </c>
      <c r="AQ32" s="5" t="s">
        <v>417</v>
      </c>
      <c r="AR32" s="8">
        <v>13.5000001350608</v>
      </c>
      <c r="AS32" s="8">
        <v>21.630606569200001</v>
      </c>
      <c r="AT32" s="5">
        <v>38.115715979478402</v>
      </c>
      <c r="AU32" s="5">
        <v>0.2</v>
      </c>
      <c r="AV32" s="5">
        <v>0.76700000000000002</v>
      </c>
      <c r="AW32" s="5">
        <v>15.130369999999999</v>
      </c>
      <c r="AX32" s="5">
        <v>3.0519360999999998</v>
      </c>
      <c r="AY32" s="5">
        <v>100</v>
      </c>
      <c r="AZ32" s="5">
        <v>30.563430679034401</v>
      </c>
      <c r="BA32" s="5">
        <v>100</v>
      </c>
      <c r="BB32" s="5"/>
      <c r="BC32" s="5" t="s">
        <v>78</v>
      </c>
      <c r="BD32" s="5" t="s">
        <v>119</v>
      </c>
      <c r="BE32" s="5"/>
      <c r="BF32" s="5"/>
      <c r="BG32" s="5" t="s">
        <v>93</v>
      </c>
      <c r="BH32" s="5" t="s">
        <v>81</v>
      </c>
    </row>
    <row r="33" spans="1:60" ht="15" customHeight="1" x14ac:dyDescent="0.25">
      <c r="A33" s="5">
        <v>32</v>
      </c>
      <c r="B33" s="5" t="s">
        <v>418</v>
      </c>
      <c r="C33" s="5" t="s">
        <v>419</v>
      </c>
      <c r="D33" s="5" t="s">
        <v>408</v>
      </c>
      <c r="E33" s="5" t="s">
        <v>409</v>
      </c>
      <c r="F33" s="5">
        <v>744051441664</v>
      </c>
      <c r="G33" s="5" t="s">
        <v>410</v>
      </c>
      <c r="H33" s="5" t="s">
        <v>161</v>
      </c>
      <c r="I33" s="5">
        <v>79.5</v>
      </c>
      <c r="J33" s="5">
        <v>0</v>
      </c>
      <c r="K33" s="5">
        <v>75</v>
      </c>
      <c r="L33" s="5">
        <v>100</v>
      </c>
      <c r="M33" s="5" t="s">
        <v>420</v>
      </c>
      <c r="N33" s="5" t="s">
        <v>65</v>
      </c>
      <c r="O33" s="5" t="s">
        <v>421</v>
      </c>
      <c r="P33" s="5">
        <v>10.199999999999999</v>
      </c>
      <c r="Q33" s="5">
        <v>0.28999999999999998</v>
      </c>
      <c r="R33" s="5">
        <v>0.28000000000000003</v>
      </c>
      <c r="S33" s="5">
        <v>9.1864368293499421</v>
      </c>
      <c r="T33" s="5">
        <v>21.864178575369401</v>
      </c>
      <c r="U33" s="5">
        <v>24.251044689487099</v>
      </c>
      <c r="V33" s="5">
        <v>0.13</v>
      </c>
      <c r="W33" s="5">
        <v>2.2626973904261631</v>
      </c>
      <c r="X33" s="5">
        <v>60.7</v>
      </c>
      <c r="Y33" s="5">
        <v>35</v>
      </c>
      <c r="Z33" s="5" t="s">
        <v>140</v>
      </c>
      <c r="AA33" s="5" t="s">
        <v>68</v>
      </c>
      <c r="AB33" s="5" t="s">
        <v>69</v>
      </c>
      <c r="AC33" s="6">
        <v>75.232804702299902</v>
      </c>
      <c r="AD33" s="7">
        <v>88</v>
      </c>
      <c r="AE33" s="6">
        <v>94.041005877874895</v>
      </c>
      <c r="AF33" s="8">
        <v>10.007342850092821</v>
      </c>
      <c r="AG33" s="10">
        <v>5.2862489244813897</v>
      </c>
      <c r="AH33" s="9">
        <v>52862.4892448139</v>
      </c>
      <c r="AI33" s="5" t="s">
        <v>410</v>
      </c>
      <c r="AJ33" s="5" t="s">
        <v>141</v>
      </c>
      <c r="AK33" s="5" t="s">
        <v>142</v>
      </c>
      <c r="AL33" s="5" t="s">
        <v>72</v>
      </c>
      <c r="AM33" s="5" t="s">
        <v>413</v>
      </c>
      <c r="AN33" s="5" t="s">
        <v>422</v>
      </c>
      <c r="AO33" s="5" t="s">
        <v>423</v>
      </c>
      <c r="AP33" s="5" t="s">
        <v>424</v>
      </c>
      <c r="AQ33" s="5" t="s">
        <v>425</v>
      </c>
      <c r="AR33" s="8">
        <v>8.4100001788727443</v>
      </c>
      <c r="AS33" s="8">
        <v>13.709408399999999</v>
      </c>
      <c r="AT33" s="5">
        <v>11.1820458832194</v>
      </c>
      <c r="AU33" s="5">
        <v>4.1500000000000004</v>
      </c>
      <c r="AV33" s="5">
        <v>0.61799999999999999</v>
      </c>
      <c r="AW33" s="5">
        <v>10.06302</v>
      </c>
      <c r="AX33" s="5">
        <v>2.1803987</v>
      </c>
      <c r="AY33" s="5">
        <v>100</v>
      </c>
      <c r="AZ33" s="5">
        <v>18.8015760102735</v>
      </c>
      <c r="BA33" s="5">
        <v>100</v>
      </c>
      <c r="BB33" s="5"/>
      <c r="BC33" s="5" t="s">
        <v>78</v>
      </c>
      <c r="BD33" s="5" t="s">
        <v>119</v>
      </c>
      <c r="BE33" s="5"/>
      <c r="BF33" s="5"/>
      <c r="BG33" s="5" t="s">
        <v>212</v>
      </c>
      <c r="BH33" s="5" t="s">
        <v>81</v>
      </c>
    </row>
    <row r="34" spans="1:60" ht="15" customHeight="1" x14ac:dyDescent="0.25">
      <c r="A34" s="5">
        <v>33</v>
      </c>
      <c r="B34" s="5" t="s">
        <v>426</v>
      </c>
      <c r="C34" s="5" t="s">
        <v>427</v>
      </c>
      <c r="D34" s="5" t="s">
        <v>408</v>
      </c>
      <c r="E34" s="5" t="s">
        <v>428</v>
      </c>
      <c r="F34" s="5">
        <v>61012516864</v>
      </c>
      <c r="G34" s="5" t="s">
        <v>410</v>
      </c>
      <c r="H34" s="5" t="s">
        <v>161</v>
      </c>
      <c r="I34" s="5">
        <v>40</v>
      </c>
      <c r="J34" s="5">
        <v>0</v>
      </c>
      <c r="K34" s="5">
        <v>65</v>
      </c>
      <c r="L34" s="5">
        <v>100</v>
      </c>
      <c r="M34" s="5" t="s">
        <v>429</v>
      </c>
      <c r="N34" s="5" t="s">
        <v>65</v>
      </c>
      <c r="O34" s="5" t="s">
        <v>430</v>
      </c>
      <c r="P34" s="5">
        <v>15.6</v>
      </c>
      <c r="Q34" s="5">
        <v>0.39</v>
      </c>
      <c r="R34" s="5">
        <v>0.38</v>
      </c>
      <c r="S34" s="5">
        <v>17.11453945705216</v>
      </c>
      <c r="T34" s="5">
        <v>24.404953703422201</v>
      </c>
      <c r="U34" s="5">
        <v>15.0990231811175</v>
      </c>
      <c r="V34" s="5">
        <v>0.69</v>
      </c>
      <c r="W34" s="5">
        <v>2.540163537774867</v>
      </c>
      <c r="X34" s="5">
        <v>98</v>
      </c>
      <c r="Y34" s="5">
        <v>40</v>
      </c>
      <c r="Z34" s="5" t="s">
        <v>140</v>
      </c>
      <c r="AA34" s="5" t="s">
        <v>68</v>
      </c>
      <c r="AB34" s="5" t="s">
        <v>69</v>
      </c>
      <c r="AC34" s="6">
        <v>463.36906976654001</v>
      </c>
      <c r="AD34" s="7">
        <v>670</v>
      </c>
      <c r="AE34" s="6">
        <v>579.21133720817397</v>
      </c>
      <c r="AF34" s="8">
        <v>-10.270631627924249</v>
      </c>
      <c r="AG34" s="10">
        <v>0.39064911507191502</v>
      </c>
      <c r="AH34" s="9">
        <v>3906.49115071915</v>
      </c>
      <c r="AI34" s="5" t="s">
        <v>410</v>
      </c>
      <c r="AJ34" s="5" t="s">
        <v>141</v>
      </c>
      <c r="AK34" s="5" t="s">
        <v>142</v>
      </c>
      <c r="AL34" s="5" t="s">
        <v>72</v>
      </c>
      <c r="AM34" s="5" t="s">
        <v>413</v>
      </c>
      <c r="AN34" s="5" t="s">
        <v>431</v>
      </c>
      <c r="AO34" s="5" t="s">
        <v>415</v>
      </c>
      <c r="AP34" s="5" t="s">
        <v>432</v>
      </c>
      <c r="AQ34" s="5" t="s">
        <v>417</v>
      </c>
      <c r="AR34" s="8">
        <v>41.779996631664901</v>
      </c>
      <c r="AS34" s="8">
        <v>25</v>
      </c>
      <c r="AT34" s="5">
        <v>13.863363743613601</v>
      </c>
      <c r="AU34" s="5">
        <v>0.16</v>
      </c>
      <c r="AV34" s="5">
        <v>0.66100000000000003</v>
      </c>
      <c r="AW34" s="5">
        <v>15.287219</v>
      </c>
      <c r="AX34" s="5">
        <v>3.6993277</v>
      </c>
      <c r="AY34" s="5">
        <v>100</v>
      </c>
      <c r="AZ34" s="5">
        <v>87.774420456825297</v>
      </c>
      <c r="BA34" s="5">
        <v>100</v>
      </c>
      <c r="BB34" s="5"/>
      <c r="BC34" s="5" t="s">
        <v>78</v>
      </c>
      <c r="BD34" s="5" t="s">
        <v>119</v>
      </c>
      <c r="BE34" s="5"/>
      <c r="BF34" s="5"/>
      <c r="BG34" s="5" t="s">
        <v>296</v>
      </c>
      <c r="BH34" s="5" t="s">
        <v>81</v>
      </c>
    </row>
    <row r="35" spans="1:60" ht="15" customHeight="1" x14ac:dyDescent="0.25">
      <c r="A35" s="5">
        <v>34</v>
      </c>
      <c r="B35" s="5" t="s">
        <v>433</v>
      </c>
      <c r="C35" s="5" t="s">
        <v>434</v>
      </c>
      <c r="D35" s="5" t="s">
        <v>109</v>
      </c>
      <c r="E35" s="5" t="s">
        <v>435</v>
      </c>
      <c r="F35" s="5">
        <v>98621300736</v>
      </c>
      <c r="G35" s="5" t="s">
        <v>410</v>
      </c>
      <c r="H35" s="5" t="s">
        <v>173</v>
      </c>
      <c r="I35" s="10">
        <v>89.5</v>
      </c>
      <c r="J35" s="10">
        <v>100</v>
      </c>
      <c r="K35" s="5">
        <v>75</v>
      </c>
      <c r="L35" s="5">
        <v>100</v>
      </c>
      <c r="M35" s="5" t="s">
        <v>436</v>
      </c>
      <c r="N35" s="5" t="s">
        <v>65</v>
      </c>
      <c r="O35" s="5" t="s">
        <v>437</v>
      </c>
      <c r="P35" s="5">
        <v>15.3</v>
      </c>
      <c r="Q35" s="5">
        <v>0.44</v>
      </c>
      <c r="R35" s="5">
        <v>0.42</v>
      </c>
      <c r="S35" s="5">
        <v>13.952588904491749</v>
      </c>
      <c r="T35" s="5">
        <v>24.668842096452401</v>
      </c>
      <c r="U35" s="5">
        <v>23.0787036904442</v>
      </c>
      <c r="V35" s="5">
        <v>0.1</v>
      </c>
      <c r="W35" s="5">
        <v>7.5685610182232947</v>
      </c>
      <c r="X35" s="5">
        <v>36.700000000000003</v>
      </c>
      <c r="Y35" s="5">
        <v>35.1</v>
      </c>
      <c r="Z35" s="5" t="s">
        <v>140</v>
      </c>
      <c r="AA35" s="5" t="s">
        <v>68</v>
      </c>
      <c r="AB35" s="5" t="s">
        <v>69</v>
      </c>
      <c r="AC35" s="6">
        <v>425.03927546354998</v>
      </c>
      <c r="AD35" s="7">
        <v>262</v>
      </c>
      <c r="AE35" s="6">
        <v>531.29909432943703</v>
      </c>
      <c r="AF35" s="8">
        <v>54.893580177759013</v>
      </c>
      <c r="AG35" s="10">
        <v>7.4304362529076498</v>
      </c>
      <c r="AH35" s="9">
        <v>74304.362529076505</v>
      </c>
      <c r="AI35" s="5" t="s">
        <v>438</v>
      </c>
      <c r="AJ35" s="5" t="s">
        <v>141</v>
      </c>
      <c r="AK35" s="5" t="s">
        <v>142</v>
      </c>
      <c r="AL35" s="5" t="s">
        <v>72</v>
      </c>
      <c r="AM35" s="5" t="s">
        <v>439</v>
      </c>
      <c r="AN35" s="5" t="s">
        <v>440</v>
      </c>
      <c r="AO35" s="5" t="s">
        <v>441</v>
      </c>
      <c r="AP35" s="5" t="s">
        <v>442</v>
      </c>
      <c r="AQ35" s="5" t="s">
        <v>443</v>
      </c>
      <c r="AR35" s="8">
        <v>16.240000549494201</v>
      </c>
      <c r="AS35" s="8">
        <v>24.70821679857</v>
      </c>
      <c r="AT35" s="5">
        <v>32.715461473487501</v>
      </c>
      <c r="AU35" s="5">
        <v>1.21</v>
      </c>
      <c r="AV35" s="5">
        <v>-0.247</v>
      </c>
      <c r="AW35" s="5">
        <v>14.756773000000001</v>
      </c>
      <c r="AX35" s="5">
        <v>4.0037756</v>
      </c>
      <c r="AY35" s="5">
        <v>100</v>
      </c>
      <c r="AZ35" s="5">
        <v>15.4679272591938</v>
      </c>
      <c r="BA35" s="5">
        <v>100</v>
      </c>
      <c r="BB35" s="5"/>
      <c r="BC35" s="5" t="s">
        <v>78</v>
      </c>
      <c r="BD35" s="5" t="s">
        <v>141</v>
      </c>
      <c r="BE35" s="5"/>
      <c r="BF35" s="5"/>
      <c r="BG35" s="5" t="s">
        <v>93</v>
      </c>
      <c r="BH35" s="5" t="s">
        <v>81</v>
      </c>
    </row>
    <row r="36" spans="1:60" ht="15" customHeight="1" x14ac:dyDescent="0.25">
      <c r="A36" s="5">
        <v>35</v>
      </c>
      <c r="B36" s="5" t="s">
        <v>444</v>
      </c>
      <c r="C36" s="5" t="s">
        <v>445</v>
      </c>
      <c r="D36" s="5" t="s">
        <v>60</v>
      </c>
      <c r="E36" s="5" t="s">
        <v>61</v>
      </c>
      <c r="F36" s="5">
        <v>143651454976</v>
      </c>
      <c r="G36" s="5" t="s">
        <v>410</v>
      </c>
      <c r="H36" s="5" t="s">
        <v>173</v>
      </c>
      <c r="I36" s="5">
        <v>89.5</v>
      </c>
      <c r="J36" s="5">
        <v>98.817796426195727</v>
      </c>
      <c r="K36" s="5">
        <v>70</v>
      </c>
      <c r="L36" s="5">
        <v>100</v>
      </c>
      <c r="M36" s="5" t="s">
        <v>446</v>
      </c>
      <c r="N36" s="5" t="s">
        <v>65</v>
      </c>
      <c r="O36" s="5" t="s">
        <v>447</v>
      </c>
      <c r="P36" s="5">
        <v>19.399999999999999</v>
      </c>
      <c r="Q36" s="5">
        <v>0.79</v>
      </c>
      <c r="R36" s="5">
        <v>0.75</v>
      </c>
      <c r="S36" s="5">
        <v>16.044462463987141</v>
      </c>
      <c r="T36" s="5">
        <v>27.5407957769878</v>
      </c>
      <c r="U36" s="5">
        <v>29.2978587999153</v>
      </c>
      <c r="V36" s="5">
        <v>0.13</v>
      </c>
      <c r="W36" s="5">
        <v>5.3666402770342394</v>
      </c>
      <c r="X36" s="5">
        <v>23</v>
      </c>
      <c r="Y36" s="5">
        <v>24.5</v>
      </c>
      <c r="Z36" s="5" t="s">
        <v>140</v>
      </c>
      <c r="AA36" s="5" t="s">
        <v>68</v>
      </c>
      <c r="AB36" s="5" t="s">
        <v>69</v>
      </c>
      <c r="AC36" s="6">
        <v>1781.81348745487</v>
      </c>
      <c r="AD36" s="7">
        <v>1400</v>
      </c>
      <c r="AE36" s="6">
        <v>2227.2668593185899</v>
      </c>
      <c r="AF36" s="8">
        <v>29.914101066561351</v>
      </c>
      <c r="AG36" s="5">
        <v>7.3560425807495697</v>
      </c>
      <c r="AH36" s="9">
        <v>73560.425807495703</v>
      </c>
      <c r="AI36" s="5" t="s">
        <v>410</v>
      </c>
      <c r="AJ36" s="5" t="s">
        <v>141</v>
      </c>
      <c r="AK36" s="5" t="s">
        <v>142</v>
      </c>
      <c r="AL36" s="5" t="s">
        <v>72</v>
      </c>
      <c r="AM36" s="5" t="s">
        <v>448</v>
      </c>
      <c r="AN36" s="5" t="s">
        <v>449</v>
      </c>
      <c r="AO36" s="5" t="s">
        <v>450</v>
      </c>
      <c r="AP36" s="5" t="s">
        <v>451</v>
      </c>
      <c r="AQ36" s="5" t="s">
        <v>452</v>
      </c>
      <c r="AR36" s="8">
        <v>74.470000490312898</v>
      </c>
      <c r="AS36" s="8">
        <v>25</v>
      </c>
      <c r="AT36" s="5">
        <v>29.908243041742899</v>
      </c>
      <c r="AU36" s="5">
        <v>0.03</v>
      </c>
      <c r="AV36" s="5">
        <v>0.40899999999999997</v>
      </c>
      <c r="AW36" s="5">
        <v>20.961459999999999</v>
      </c>
      <c r="AX36" s="5">
        <v>5.6377195999999996</v>
      </c>
      <c r="AY36" s="5">
        <v>100</v>
      </c>
      <c r="AZ36" s="5">
        <v>15.012346757474701</v>
      </c>
      <c r="BA36" s="5">
        <v>100</v>
      </c>
      <c r="BB36" s="5"/>
      <c r="BC36" s="5" t="s">
        <v>78</v>
      </c>
      <c r="BD36" s="5" t="s">
        <v>141</v>
      </c>
      <c r="BE36" s="5"/>
      <c r="BF36" s="5"/>
      <c r="BG36" s="5" t="s">
        <v>93</v>
      </c>
      <c r="BH36" s="5" t="s">
        <v>81</v>
      </c>
    </row>
    <row r="37" spans="1:60" ht="15" customHeight="1" x14ac:dyDescent="0.25">
      <c r="A37" s="5">
        <v>36</v>
      </c>
      <c r="B37" s="5" t="s">
        <v>453</v>
      </c>
      <c r="C37" s="5" t="s">
        <v>454</v>
      </c>
      <c r="D37" s="5" t="s">
        <v>408</v>
      </c>
      <c r="E37" s="5" t="s">
        <v>455</v>
      </c>
      <c r="F37" s="5">
        <v>80593969152</v>
      </c>
      <c r="G37" s="5" t="s">
        <v>456</v>
      </c>
      <c r="H37" s="5" t="s">
        <v>161</v>
      </c>
      <c r="I37" s="5">
        <v>58</v>
      </c>
      <c r="J37" s="5">
        <v>0</v>
      </c>
      <c r="K37" s="5">
        <v>35</v>
      </c>
      <c r="L37" s="5">
        <v>100</v>
      </c>
      <c r="M37" s="5" t="s">
        <v>457</v>
      </c>
      <c r="N37" s="5" t="s">
        <v>65</v>
      </c>
      <c r="O37" s="5" t="s">
        <v>458</v>
      </c>
      <c r="P37" s="5">
        <v>12</v>
      </c>
      <c r="Q37" s="5">
        <v>0.21</v>
      </c>
      <c r="R37" s="5">
        <v>0.21</v>
      </c>
      <c r="S37" s="5">
        <v>10.964841481125109</v>
      </c>
      <c r="T37" s="5">
        <v>21.703960844309201</v>
      </c>
      <c r="U37" s="5">
        <v>21.066641006493199</v>
      </c>
      <c r="V37" s="5">
        <v>0.1</v>
      </c>
      <c r="W37" s="5">
        <v>2.020384926690217</v>
      </c>
      <c r="X37" s="5">
        <v>13</v>
      </c>
      <c r="Y37" s="5">
        <v>57</v>
      </c>
      <c r="Z37" s="5" t="s">
        <v>140</v>
      </c>
      <c r="AA37" s="5" t="s">
        <v>68</v>
      </c>
      <c r="AB37" s="5" t="s">
        <v>459</v>
      </c>
      <c r="AC37" s="6">
        <v>543.23527652035602</v>
      </c>
      <c r="AD37" s="7">
        <v>885</v>
      </c>
      <c r="AE37" s="6">
        <v>679.044095650445</v>
      </c>
      <c r="AF37" s="8">
        <v>-31.552575999401469</v>
      </c>
      <c r="AG37" s="5">
        <v>2.95492379755887</v>
      </c>
      <c r="AH37" s="9">
        <v>29549.237975588701</v>
      </c>
      <c r="AI37" s="5" t="s">
        <v>456</v>
      </c>
      <c r="AJ37" s="5" t="s">
        <v>460</v>
      </c>
      <c r="AK37" s="5" t="s">
        <v>461</v>
      </c>
      <c r="AL37" s="5" t="s">
        <v>72</v>
      </c>
      <c r="AM37" s="5" t="s">
        <v>462</v>
      </c>
      <c r="AN37" s="5" t="s">
        <v>463</v>
      </c>
      <c r="AO37" s="5" t="s">
        <v>464</v>
      </c>
      <c r="AP37" s="5" t="s">
        <v>465</v>
      </c>
      <c r="AQ37" s="5" t="s">
        <v>466</v>
      </c>
      <c r="AR37" s="8">
        <v>75.490001844552097</v>
      </c>
      <c r="AS37" s="8">
        <v>20.316037000000001</v>
      </c>
      <c r="AT37" s="5">
        <v>8.9951529427797698</v>
      </c>
      <c r="AU37" s="5">
        <v>1.97</v>
      </c>
      <c r="AV37" s="5">
        <v>0.55900000000000005</v>
      </c>
      <c r="AW37" s="5">
        <v>11.833356</v>
      </c>
      <c r="AX37" s="5">
        <v>2.56942</v>
      </c>
      <c r="AY37" s="5">
        <v>100</v>
      </c>
      <c r="AZ37" s="5">
        <v>0</v>
      </c>
      <c r="BA37" s="5">
        <v>100</v>
      </c>
      <c r="BB37" s="5"/>
      <c r="BC37" s="5" t="s">
        <v>78</v>
      </c>
      <c r="BD37" s="5" t="s">
        <v>119</v>
      </c>
      <c r="BE37" s="5"/>
      <c r="BF37" s="5"/>
      <c r="BG37" s="5" t="s">
        <v>296</v>
      </c>
      <c r="BH37" s="5" t="s">
        <v>81</v>
      </c>
    </row>
    <row r="38" spans="1:60" ht="15" customHeight="1" x14ac:dyDescent="0.25">
      <c r="A38" s="5">
        <v>37</v>
      </c>
      <c r="B38" s="5" t="s">
        <v>467</v>
      </c>
      <c r="C38" s="5" t="s">
        <v>468</v>
      </c>
      <c r="D38" s="5" t="s">
        <v>60</v>
      </c>
      <c r="E38" s="5" t="s">
        <v>264</v>
      </c>
      <c r="F38" s="5">
        <v>281101172736</v>
      </c>
      <c r="G38" s="5"/>
      <c r="H38" s="5"/>
      <c r="I38" s="5">
        <v>10</v>
      </c>
      <c r="J38" s="5">
        <v>0.121252204585538</v>
      </c>
      <c r="K38" s="5"/>
      <c r="L38" s="5">
        <v>100</v>
      </c>
      <c r="M38" s="5"/>
      <c r="N38" s="5"/>
      <c r="O38" s="5"/>
      <c r="P38" s="5"/>
      <c r="Q38" s="5"/>
      <c r="R38" s="5"/>
      <c r="S38" s="5"/>
      <c r="T38" s="5">
        <v>2.4691358024691401</v>
      </c>
      <c r="U38" s="5">
        <v>7.5289575289575303</v>
      </c>
      <c r="V38" s="5"/>
      <c r="W38" s="5"/>
      <c r="X38" s="5"/>
      <c r="Y38" s="5"/>
      <c r="Z38" s="5"/>
      <c r="AA38" s="5"/>
      <c r="AB38" s="5"/>
      <c r="AC38" s="5">
        <v>70.709668795462903</v>
      </c>
      <c r="AD38" s="5"/>
      <c r="AE38" s="5">
        <v>88.387085994328601</v>
      </c>
      <c r="AF38" s="5">
        <v>-518.8686886171339</v>
      </c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>
        <v>1.1100000663677201</v>
      </c>
      <c r="AS38" s="5">
        <v>5</v>
      </c>
      <c r="AT38" s="5">
        <v>79.628005400296104</v>
      </c>
      <c r="AU38" s="5"/>
      <c r="AV38" s="5">
        <v>1.417</v>
      </c>
      <c r="AW38" s="5">
        <v>492.7928</v>
      </c>
      <c r="AX38" s="5">
        <v>11.760153000000001</v>
      </c>
      <c r="AY38" s="5">
        <v>75</v>
      </c>
      <c r="AZ38" s="5">
        <v>97.574955908289198</v>
      </c>
      <c r="BA38" s="5">
        <v>75</v>
      </c>
      <c r="BB38" s="5"/>
      <c r="BC38" s="5" t="s">
        <v>78</v>
      </c>
      <c r="BD38" s="5" t="s">
        <v>119</v>
      </c>
      <c r="BE38" s="5"/>
      <c r="BF38" s="5"/>
      <c r="BG38" s="5" t="s">
        <v>148</v>
      </c>
      <c r="BH38" s="5" t="s">
        <v>274</v>
      </c>
    </row>
    <row r="39" spans="1:60" ht="15" customHeight="1" x14ac:dyDescent="0.25">
      <c r="A39" s="5">
        <v>38</v>
      </c>
      <c r="B39" s="5" t="s">
        <v>469</v>
      </c>
      <c r="C39" s="5" t="s">
        <v>470</v>
      </c>
      <c r="D39" s="5" t="s">
        <v>408</v>
      </c>
      <c r="E39" s="5" t="s">
        <v>471</v>
      </c>
      <c r="F39" s="5">
        <v>161453522944</v>
      </c>
      <c r="G39" s="5"/>
      <c r="H39" s="5"/>
      <c r="I39" s="5">
        <v>34.5</v>
      </c>
      <c r="J39" s="5">
        <v>17.148298671766799</v>
      </c>
      <c r="K39" s="5"/>
      <c r="L39" s="5">
        <v>100</v>
      </c>
      <c r="M39" s="5"/>
      <c r="N39" s="5"/>
      <c r="O39" s="5"/>
      <c r="P39" s="5"/>
      <c r="Q39" s="5"/>
      <c r="R39" s="5"/>
      <c r="S39" s="5">
        <v>41.158381576056257</v>
      </c>
      <c r="T39" s="5">
        <v>12.733796156858</v>
      </c>
      <c r="U39" s="5">
        <v>14.329115786376301</v>
      </c>
      <c r="V39" s="5"/>
      <c r="W39" s="5">
        <v>0.710468837773367</v>
      </c>
      <c r="X39" s="5"/>
      <c r="Y39" s="5"/>
      <c r="Z39" s="5"/>
      <c r="AA39" s="5"/>
      <c r="AB39" s="5"/>
      <c r="AC39" s="5">
        <v>1182.43101214747</v>
      </c>
      <c r="AD39" s="5"/>
      <c r="AE39" s="5">
        <v>1478.03876518434</v>
      </c>
      <c r="AF39" s="5">
        <v>-370.18387904956347</v>
      </c>
      <c r="AG39" s="5">
        <v>2.364214674051651</v>
      </c>
      <c r="AH39" s="5">
        <v>23642.14674051652</v>
      </c>
      <c r="AI39" s="5"/>
      <c r="AJ39" s="5"/>
      <c r="AK39" s="5"/>
      <c r="AL39" s="5"/>
      <c r="AM39" s="5"/>
      <c r="AN39" s="5"/>
      <c r="AO39" s="5"/>
      <c r="AP39" s="5"/>
      <c r="AQ39" s="5"/>
      <c r="AR39" s="5">
        <v>145.56000239676899</v>
      </c>
      <c r="AS39" s="5">
        <v>12.345390480723999</v>
      </c>
      <c r="AT39" s="5">
        <v>10.154154748449701</v>
      </c>
      <c r="AU39" s="5">
        <v>0.17</v>
      </c>
      <c r="AV39" s="5">
        <v>0.66700000000000004</v>
      </c>
      <c r="AW39" s="5">
        <v>47.743200000000002</v>
      </c>
      <c r="AX39" s="5">
        <v>6.0780900000000004</v>
      </c>
      <c r="AY39" s="5">
        <v>100</v>
      </c>
      <c r="AZ39" s="5">
        <v>0.58957291729413897</v>
      </c>
      <c r="BA39" s="5">
        <v>100</v>
      </c>
      <c r="BB39" s="5"/>
      <c r="BC39" s="5" t="s">
        <v>78</v>
      </c>
      <c r="BD39" s="5" t="s">
        <v>119</v>
      </c>
      <c r="BE39" s="5"/>
      <c r="BF39" s="5"/>
      <c r="BG39" s="5" t="s">
        <v>148</v>
      </c>
      <c r="BH39" s="5" t="s">
        <v>81</v>
      </c>
    </row>
    <row r="40" spans="1:60" ht="15" customHeight="1" x14ac:dyDescent="0.25">
      <c r="A40" s="5">
        <v>39</v>
      </c>
      <c r="B40" s="5" t="s">
        <v>472</v>
      </c>
      <c r="C40" s="5" t="s">
        <v>473</v>
      </c>
      <c r="D40" s="5" t="s">
        <v>322</v>
      </c>
      <c r="E40" s="5" t="s">
        <v>474</v>
      </c>
      <c r="F40" s="5">
        <v>286937153536</v>
      </c>
      <c r="G40" s="5"/>
      <c r="H40" s="5"/>
      <c r="I40" s="5">
        <v>79.5</v>
      </c>
      <c r="J40" s="5">
        <v>34.778800927139798</v>
      </c>
      <c r="K40" s="5"/>
      <c r="L40" s="5">
        <v>100</v>
      </c>
      <c r="M40" s="5"/>
      <c r="N40" s="5"/>
      <c r="O40" s="5"/>
      <c r="P40" s="5"/>
      <c r="Q40" s="5"/>
      <c r="R40" s="5"/>
      <c r="S40" s="5">
        <v>256.15072932636082</v>
      </c>
      <c r="T40" s="5">
        <v>24.008852592402299</v>
      </c>
      <c r="U40" s="5">
        <v>23.7089384932376</v>
      </c>
      <c r="V40" s="5"/>
      <c r="W40" s="5">
        <v>7.496966617389067E-2</v>
      </c>
      <c r="X40" s="5"/>
      <c r="Y40" s="5"/>
      <c r="Z40" s="5"/>
      <c r="AA40" s="5"/>
      <c r="AB40" s="5"/>
      <c r="AC40" s="5">
        <v>5.5180809258540702</v>
      </c>
      <c r="AD40" s="5"/>
      <c r="AE40" s="5">
        <v>6.8976011573175899</v>
      </c>
      <c r="AF40" s="5">
        <v>-2995.5689540483081</v>
      </c>
      <c r="AG40" s="5">
        <v>3.596182618683375</v>
      </c>
      <c r="AH40" s="5">
        <v>35961.826186833743</v>
      </c>
      <c r="AI40" s="5"/>
      <c r="AJ40" s="5"/>
      <c r="AK40" s="5"/>
      <c r="AL40" s="5"/>
      <c r="AM40" s="5"/>
      <c r="AN40" s="5"/>
      <c r="AO40" s="5"/>
      <c r="AP40" s="5"/>
      <c r="AQ40" s="5"/>
      <c r="AR40" s="5">
        <v>0.7104324840927938</v>
      </c>
      <c r="AS40" s="5">
        <v>25</v>
      </c>
      <c r="AT40" s="5">
        <v>9.7149312074895597</v>
      </c>
      <c r="AU40" s="5"/>
      <c r="AV40" s="5">
        <v>0.28799999999999998</v>
      </c>
      <c r="AW40" s="5">
        <v>300.54932000000002</v>
      </c>
      <c r="AX40" s="5">
        <v>63.56568</v>
      </c>
      <c r="AY40" s="5">
        <v>75</v>
      </c>
      <c r="AZ40" s="5">
        <v>12.5061611895854</v>
      </c>
      <c r="BA40" s="5">
        <v>75</v>
      </c>
      <c r="BB40" s="5"/>
      <c r="BC40" s="5" t="s">
        <v>78</v>
      </c>
      <c r="BD40" s="5" t="s">
        <v>79</v>
      </c>
      <c r="BE40" s="5"/>
      <c r="BF40" s="5"/>
      <c r="BG40" s="5" t="s">
        <v>148</v>
      </c>
      <c r="BH40" s="5" t="s">
        <v>81</v>
      </c>
    </row>
    <row r="41" spans="1:60" ht="15" customHeight="1" x14ac:dyDescent="0.25">
      <c r="A41" s="5">
        <v>40</v>
      </c>
      <c r="B41" s="5" t="s">
        <v>475</v>
      </c>
      <c r="C41" s="5" t="s">
        <v>476</v>
      </c>
      <c r="D41" s="5" t="s">
        <v>96</v>
      </c>
      <c r="E41" s="5" t="s">
        <v>477</v>
      </c>
      <c r="F41" s="5">
        <v>232462680064</v>
      </c>
      <c r="G41" s="5"/>
      <c r="H41" s="5"/>
      <c r="I41" s="5">
        <v>73.5</v>
      </c>
      <c r="J41" s="5">
        <v>27.881796996174</v>
      </c>
      <c r="K41" s="5"/>
      <c r="L41" s="5">
        <v>100</v>
      </c>
      <c r="M41" s="5"/>
      <c r="N41" s="5"/>
      <c r="O41" s="5"/>
      <c r="P41" s="5"/>
      <c r="Q41" s="5"/>
      <c r="R41" s="5"/>
      <c r="S41" s="5">
        <v>65.84019439791534</v>
      </c>
      <c r="T41" s="5">
        <v>19.144211423911599</v>
      </c>
      <c r="U41" s="5">
        <v>23.810274421000699</v>
      </c>
      <c r="V41" s="5"/>
      <c r="W41" s="5">
        <v>-0.10322346887673869</v>
      </c>
      <c r="X41" s="5"/>
      <c r="Y41" s="5"/>
      <c r="Z41" s="5"/>
      <c r="AA41" s="5"/>
      <c r="AB41" s="5"/>
      <c r="AC41" s="5">
        <v>131.326497400975</v>
      </c>
      <c r="AD41" s="5"/>
      <c r="AE41" s="5">
        <v>164.158121751219</v>
      </c>
      <c r="AF41" s="5">
        <v>-759.53712490592648</v>
      </c>
      <c r="AG41" s="5">
        <v>0.96100719463519257</v>
      </c>
      <c r="AH41" s="5">
        <v>9610.0719463519254</v>
      </c>
      <c r="AI41" s="5"/>
      <c r="AJ41" s="5"/>
      <c r="AK41" s="5"/>
      <c r="AL41" s="5"/>
      <c r="AM41" s="5"/>
      <c r="AN41" s="5"/>
      <c r="AO41" s="5"/>
      <c r="AP41" s="5"/>
      <c r="AQ41" s="5"/>
      <c r="AR41" s="5">
        <v>15.309999870894</v>
      </c>
      <c r="AS41" s="5">
        <v>25</v>
      </c>
      <c r="AT41" s="5">
        <v>10.7222809765656</v>
      </c>
      <c r="AU41" s="5"/>
      <c r="AV41" s="5"/>
      <c r="AW41" s="5">
        <v>92.16198</v>
      </c>
      <c r="AX41" s="5">
        <v>18.039556999999999</v>
      </c>
      <c r="AY41" s="5">
        <v>25</v>
      </c>
      <c r="AZ41" s="5">
        <v>24.1311646362612</v>
      </c>
      <c r="BA41" s="5">
        <v>25</v>
      </c>
      <c r="BB41" s="5"/>
      <c r="BC41" s="5" t="s">
        <v>78</v>
      </c>
      <c r="BD41" s="5" t="s">
        <v>119</v>
      </c>
      <c r="BE41" s="5"/>
      <c r="BF41" s="5"/>
      <c r="BG41" s="5" t="s">
        <v>148</v>
      </c>
      <c r="BH41" s="5" t="s">
        <v>81</v>
      </c>
    </row>
    <row r="42" spans="1:60" ht="15" customHeight="1" x14ac:dyDescent="0.25">
      <c r="A42" s="5">
        <v>41</v>
      </c>
      <c r="B42" s="5" t="s">
        <v>478</v>
      </c>
      <c r="C42" s="5" t="s">
        <v>479</v>
      </c>
      <c r="D42" s="5" t="s">
        <v>96</v>
      </c>
      <c r="E42" s="5" t="s">
        <v>97</v>
      </c>
      <c r="F42" s="5">
        <v>89999572992</v>
      </c>
      <c r="G42" s="5"/>
      <c r="H42" s="5"/>
      <c r="I42" s="5">
        <v>87</v>
      </c>
      <c r="J42" s="5">
        <v>35.114249683606552</v>
      </c>
      <c r="K42" s="5"/>
      <c r="L42" s="5">
        <v>100</v>
      </c>
      <c r="M42" s="5"/>
      <c r="N42" s="5"/>
      <c r="O42" s="5"/>
      <c r="P42" s="5"/>
      <c r="Q42" s="5"/>
      <c r="R42" s="5"/>
      <c r="S42" s="5">
        <v>6.0168753260520598</v>
      </c>
      <c r="T42" s="5">
        <v>116.012608117596</v>
      </c>
      <c r="U42" s="5">
        <v>112.12476266437</v>
      </c>
      <c r="V42" s="5"/>
      <c r="W42" s="5">
        <v>-2.747405859546892</v>
      </c>
      <c r="X42" s="5"/>
      <c r="Y42" s="5"/>
      <c r="Z42" s="5"/>
      <c r="AA42" s="5"/>
      <c r="AB42" s="5"/>
      <c r="AC42" s="5">
        <v>169.77781563416701</v>
      </c>
      <c r="AD42" s="5"/>
      <c r="AE42" s="5">
        <v>212.222269542709</v>
      </c>
      <c r="AF42" s="5">
        <v>-30.67902845332085</v>
      </c>
      <c r="AG42" s="5">
        <v>1.2102895155858491</v>
      </c>
      <c r="AH42" s="5">
        <v>12102.89515585849</v>
      </c>
      <c r="AI42" s="5"/>
      <c r="AJ42" s="5"/>
      <c r="AK42" s="5"/>
      <c r="AL42" s="5"/>
      <c r="AM42" s="5"/>
      <c r="AN42" s="5"/>
      <c r="AO42" s="5"/>
      <c r="AP42" s="5"/>
      <c r="AQ42" s="5"/>
      <c r="AR42" s="5">
        <v>48.519999800206598</v>
      </c>
      <c r="AS42" s="5">
        <v>25</v>
      </c>
      <c r="AT42" s="5">
        <v>4.3739132222322601</v>
      </c>
      <c r="AU42" s="5"/>
      <c r="AV42" s="5">
        <v>0.54400000000000004</v>
      </c>
      <c r="AW42" s="5">
        <v>5.7157869999999997</v>
      </c>
      <c r="AX42" s="5">
        <v>6.722988</v>
      </c>
      <c r="AY42" s="5">
        <v>25</v>
      </c>
      <c r="AZ42" s="5">
        <v>41.776340359420999</v>
      </c>
      <c r="BA42" s="5">
        <v>25</v>
      </c>
      <c r="BB42" s="5"/>
      <c r="BC42" s="5" t="s">
        <v>78</v>
      </c>
      <c r="BD42" s="5" t="s">
        <v>79</v>
      </c>
      <c r="BE42" s="5"/>
      <c r="BF42" s="5"/>
      <c r="BG42" s="5" t="s">
        <v>296</v>
      </c>
      <c r="BH42" s="5" t="s">
        <v>81</v>
      </c>
    </row>
    <row r="43" spans="1:60" ht="15" customHeight="1" x14ac:dyDescent="0.25">
      <c r="A43" s="5">
        <v>42</v>
      </c>
      <c r="B43" s="5" t="s">
        <v>480</v>
      </c>
      <c r="C43" s="5" t="s">
        <v>481</v>
      </c>
      <c r="D43" s="5" t="s">
        <v>215</v>
      </c>
      <c r="E43" s="5" t="s">
        <v>216</v>
      </c>
      <c r="F43" s="5">
        <v>206555561984</v>
      </c>
      <c r="G43" s="5"/>
      <c r="H43" s="5"/>
      <c r="I43" s="5">
        <v>72</v>
      </c>
      <c r="J43" s="5">
        <v>12.7830508474576</v>
      </c>
      <c r="K43" s="5"/>
      <c r="L43" s="5">
        <v>100</v>
      </c>
      <c r="M43" s="5"/>
      <c r="N43" s="5"/>
      <c r="O43" s="5"/>
      <c r="P43" s="5"/>
      <c r="Q43" s="5"/>
      <c r="R43" s="5"/>
      <c r="S43" s="5">
        <v>40.68793510748506</v>
      </c>
      <c r="T43" s="5">
        <v>24.834039548022599</v>
      </c>
      <c r="U43" s="5">
        <v>34.095613921594001</v>
      </c>
      <c r="V43" s="5"/>
      <c r="W43" s="5">
        <v>1.1587545386816269</v>
      </c>
      <c r="X43" s="5"/>
      <c r="Y43" s="5"/>
      <c r="Z43" s="5"/>
      <c r="AA43" s="5"/>
      <c r="AB43" s="5"/>
      <c r="AC43" s="5">
        <v>1894.60903527551</v>
      </c>
      <c r="AD43" s="5"/>
      <c r="AE43" s="5">
        <v>2368.26129409439</v>
      </c>
      <c r="AF43" s="5">
        <v>-180.60670571155049</v>
      </c>
      <c r="AG43" s="5">
        <v>1.762383369404775</v>
      </c>
      <c r="AH43" s="5">
        <v>17623.833694047749</v>
      </c>
      <c r="AI43" s="5"/>
      <c r="AJ43" s="5"/>
      <c r="AK43" s="5"/>
      <c r="AL43" s="5"/>
      <c r="AM43" s="5"/>
      <c r="AN43" s="5"/>
      <c r="AO43" s="5"/>
      <c r="AP43" s="5"/>
      <c r="AQ43" s="5"/>
      <c r="AR43" s="5">
        <v>113.44000397940469</v>
      </c>
      <c r="AS43" s="5">
        <v>24.8410665</v>
      </c>
      <c r="AT43" s="5">
        <v>20.876774454287599</v>
      </c>
      <c r="AU43" s="5">
        <v>0.28000000000000003</v>
      </c>
      <c r="AV43" s="5">
        <v>0.504</v>
      </c>
      <c r="AW43" s="5">
        <v>58.581626999999997</v>
      </c>
      <c r="AX43" s="5">
        <v>14.587253</v>
      </c>
      <c r="AY43" s="5">
        <v>100</v>
      </c>
      <c r="AZ43" s="5">
        <v>64.491525423728802</v>
      </c>
      <c r="BA43" s="5">
        <v>100</v>
      </c>
      <c r="BB43" s="5"/>
      <c r="BC43" s="5" t="s">
        <v>78</v>
      </c>
      <c r="BD43" s="5" t="s">
        <v>119</v>
      </c>
      <c r="BE43" s="5"/>
      <c r="BF43" s="5"/>
      <c r="BG43" s="5" t="s">
        <v>80</v>
      </c>
      <c r="BH43" s="5" t="s">
        <v>81</v>
      </c>
    </row>
    <row r="44" spans="1:60" ht="15" customHeight="1" x14ac:dyDescent="0.25">
      <c r="A44" s="5">
        <v>43</v>
      </c>
      <c r="B44" s="5" t="s">
        <v>482</v>
      </c>
      <c r="C44" s="5" t="s">
        <v>483</v>
      </c>
      <c r="D44" s="5" t="s">
        <v>96</v>
      </c>
      <c r="E44" s="5" t="s">
        <v>484</v>
      </c>
      <c r="F44" s="5">
        <v>125691887616</v>
      </c>
      <c r="G44" s="5"/>
      <c r="H44" s="5"/>
      <c r="I44" s="5">
        <v>43</v>
      </c>
      <c r="J44" s="5">
        <v>17.779041066465901</v>
      </c>
      <c r="K44" s="5"/>
      <c r="L44" s="5">
        <v>100</v>
      </c>
      <c r="M44" s="5"/>
      <c r="N44" s="5"/>
      <c r="O44" s="5"/>
      <c r="P44" s="5"/>
      <c r="Q44" s="5"/>
      <c r="R44" s="5"/>
      <c r="S44" s="5">
        <v>33.464716811396848</v>
      </c>
      <c r="T44" s="5">
        <v>12.2663351543699</v>
      </c>
      <c r="U44" s="5">
        <v>16.717099019020701</v>
      </c>
      <c r="V44" s="5"/>
      <c r="W44" s="5">
        <v>1.638693755203591</v>
      </c>
      <c r="X44" s="5"/>
      <c r="Y44" s="5"/>
      <c r="Z44" s="5"/>
      <c r="AA44" s="5"/>
      <c r="AB44" s="5"/>
      <c r="AC44" s="5">
        <v>122.034751774158</v>
      </c>
      <c r="AD44" s="5"/>
      <c r="AE44" s="5">
        <v>152.54343971769799</v>
      </c>
      <c r="AF44" s="5">
        <v>-90.765332510224169</v>
      </c>
      <c r="AG44" s="5">
        <v>1.8383807594180011</v>
      </c>
      <c r="AH44" s="5">
        <v>18383.807594180009</v>
      </c>
      <c r="AI44" s="5"/>
      <c r="AJ44" s="5"/>
      <c r="AK44" s="5"/>
      <c r="AL44" s="5"/>
      <c r="AM44" s="5"/>
      <c r="AN44" s="5"/>
      <c r="AO44" s="5"/>
      <c r="AP44" s="5"/>
      <c r="AQ44" s="5"/>
      <c r="AR44" s="5">
        <v>6.8800000696953898</v>
      </c>
      <c r="AS44" s="5">
        <v>16.936001000000001</v>
      </c>
      <c r="AT44" s="5">
        <v>22.172011586874699</v>
      </c>
      <c r="AU44" s="5"/>
      <c r="AV44" s="5"/>
      <c r="AW44" s="5">
        <v>42.296512999999997</v>
      </c>
      <c r="AX44" s="5">
        <v>5.7295870000000004</v>
      </c>
      <c r="AY44" s="5">
        <v>75</v>
      </c>
      <c r="AZ44" s="5">
        <v>17.3067857373678</v>
      </c>
      <c r="BA44" s="5">
        <v>75</v>
      </c>
      <c r="BB44" s="5"/>
      <c r="BC44" s="5" t="s">
        <v>78</v>
      </c>
      <c r="BD44" s="5" t="s">
        <v>119</v>
      </c>
      <c r="BE44" s="5"/>
      <c r="BF44" s="5"/>
      <c r="BG44" s="5" t="s">
        <v>80</v>
      </c>
      <c r="BH44" s="5" t="s">
        <v>81</v>
      </c>
    </row>
    <row r="45" spans="1:60" ht="15" customHeight="1" x14ac:dyDescent="0.25">
      <c r="A45" s="5">
        <v>44</v>
      </c>
      <c r="B45" s="5" t="s">
        <v>485</v>
      </c>
      <c r="C45" s="5" t="s">
        <v>486</v>
      </c>
      <c r="D45" s="5" t="s">
        <v>109</v>
      </c>
      <c r="E45" s="5" t="s">
        <v>487</v>
      </c>
      <c r="F45" s="5">
        <v>99315826688</v>
      </c>
      <c r="G45" s="5"/>
      <c r="H45" s="5"/>
      <c r="I45" s="5">
        <v>45</v>
      </c>
      <c r="J45" s="5">
        <v>21.660426922599601</v>
      </c>
      <c r="K45" s="5"/>
      <c r="L45" s="5">
        <v>100</v>
      </c>
      <c r="M45" s="5"/>
      <c r="N45" s="5"/>
      <c r="O45" s="5"/>
      <c r="P45" s="5"/>
      <c r="Q45" s="5"/>
      <c r="R45" s="5"/>
      <c r="S45" s="5">
        <v>95.96215504588929</v>
      </c>
      <c r="T45" s="5">
        <v>12.1485403825204</v>
      </c>
      <c r="U45" s="5">
        <v>13.786260355344799</v>
      </c>
      <c r="V45" s="5"/>
      <c r="W45" s="5">
        <v>-0.13258777233855429</v>
      </c>
      <c r="X45" s="5"/>
      <c r="Y45" s="5"/>
      <c r="Z45" s="5"/>
      <c r="AA45" s="5"/>
      <c r="AB45" s="5"/>
      <c r="AC45" s="5">
        <v>68.728721141607707</v>
      </c>
      <c r="AD45" s="5"/>
      <c r="AE45" s="5">
        <v>85.910901427009705</v>
      </c>
      <c r="AF45" s="5">
        <v>-1334.509450523055</v>
      </c>
      <c r="AG45" s="5">
        <v>1.493148100486092</v>
      </c>
      <c r="AH45" s="5">
        <v>14931.48100486092</v>
      </c>
      <c r="AI45" s="5"/>
      <c r="AJ45" s="5"/>
      <c r="AK45" s="5"/>
      <c r="AL45" s="5"/>
      <c r="AM45" s="5"/>
      <c r="AN45" s="5"/>
      <c r="AO45" s="5"/>
      <c r="AP45" s="5"/>
      <c r="AQ45" s="5"/>
      <c r="AR45" s="5">
        <v>10.720000264777401</v>
      </c>
      <c r="AS45" s="5">
        <v>12.537592419424</v>
      </c>
      <c r="AT45" s="5">
        <v>8.0140766256538907</v>
      </c>
      <c r="AU45" s="5">
        <v>0.04</v>
      </c>
      <c r="AV45" s="5">
        <v>0.51700000000000002</v>
      </c>
      <c r="AW45" s="5">
        <v>114.96268499999999</v>
      </c>
      <c r="AX45" s="5">
        <v>13.678136</v>
      </c>
      <c r="AY45" s="5">
        <v>50</v>
      </c>
      <c r="AZ45" s="5">
        <v>3.73143589955736</v>
      </c>
      <c r="BA45" s="5">
        <v>50</v>
      </c>
      <c r="BB45" s="5"/>
      <c r="BC45" s="5" t="s">
        <v>78</v>
      </c>
      <c r="BD45" s="5" t="s">
        <v>119</v>
      </c>
      <c r="BE45" s="5"/>
      <c r="BF45" s="5"/>
      <c r="BG45" s="5" t="s">
        <v>148</v>
      </c>
      <c r="BH45" s="5" t="s">
        <v>81</v>
      </c>
    </row>
    <row r="46" spans="1:60" ht="15" customHeight="1" x14ac:dyDescent="0.25">
      <c r="A46" s="5">
        <v>45</v>
      </c>
      <c r="B46" s="5" t="s">
        <v>488</v>
      </c>
      <c r="C46" s="5" t="s">
        <v>489</v>
      </c>
      <c r="D46" s="5" t="s">
        <v>215</v>
      </c>
      <c r="E46" s="5" t="s">
        <v>490</v>
      </c>
      <c r="F46" s="5">
        <v>197107908608</v>
      </c>
      <c r="G46" s="5"/>
      <c r="H46" s="5"/>
      <c r="I46" s="5">
        <v>37.5</v>
      </c>
      <c r="J46" s="5">
        <v>15.1831005144338</v>
      </c>
      <c r="K46" s="5"/>
      <c r="L46" s="5">
        <v>100</v>
      </c>
      <c r="M46" s="5"/>
      <c r="N46" s="5"/>
      <c r="O46" s="5"/>
      <c r="P46" s="5"/>
      <c r="Q46" s="5"/>
      <c r="R46" s="5"/>
      <c r="S46" s="5">
        <v>47.435649138020032</v>
      </c>
      <c r="T46" s="5">
        <v>10.4292397668346</v>
      </c>
      <c r="U46" s="5">
        <v>12.310633904008199</v>
      </c>
      <c r="V46" s="5"/>
      <c r="W46" s="5">
        <v>-0.62073649967027666</v>
      </c>
      <c r="X46" s="5"/>
      <c r="Y46" s="5"/>
      <c r="Z46" s="5"/>
      <c r="AA46" s="5"/>
      <c r="AB46" s="5"/>
      <c r="AC46" s="5">
        <v>370.42266919233799</v>
      </c>
      <c r="AD46" s="5"/>
      <c r="AE46" s="5">
        <v>463.02833649042299</v>
      </c>
      <c r="AF46" s="5">
        <v>-582.16127417621476</v>
      </c>
      <c r="AG46" s="5">
        <v>1.046637620469183</v>
      </c>
      <c r="AH46" s="5">
        <v>10466.376204691829</v>
      </c>
      <c r="AI46" s="5"/>
      <c r="AJ46" s="5"/>
      <c r="AK46" s="5"/>
      <c r="AL46" s="5"/>
      <c r="AM46" s="5"/>
      <c r="AN46" s="5"/>
      <c r="AO46" s="5"/>
      <c r="AP46" s="5"/>
      <c r="AQ46" s="5"/>
      <c r="AR46" s="5">
        <v>51.999999280503197</v>
      </c>
      <c r="AS46" s="5">
        <v>10.430449425040001</v>
      </c>
      <c r="AT46" s="5">
        <v>8.9043910863542894</v>
      </c>
      <c r="AU46" s="5">
        <v>0.1</v>
      </c>
      <c r="AV46" s="5">
        <v>0.76700000000000002</v>
      </c>
      <c r="AW46" s="5">
        <v>60.742310000000003</v>
      </c>
      <c r="AX46" s="5">
        <v>6.3664765000000001</v>
      </c>
      <c r="AY46" s="5">
        <v>50</v>
      </c>
      <c r="AZ46" s="5">
        <v>19.023463923019602</v>
      </c>
      <c r="BA46" s="5">
        <v>50</v>
      </c>
      <c r="BB46" s="5"/>
      <c r="BC46" s="5" t="s">
        <v>78</v>
      </c>
      <c r="BD46" s="5" t="s">
        <v>119</v>
      </c>
      <c r="BE46" s="5"/>
      <c r="BF46" s="5"/>
      <c r="BG46" s="5" t="s">
        <v>148</v>
      </c>
      <c r="BH46" s="5" t="s">
        <v>81</v>
      </c>
    </row>
    <row r="47" spans="1:60" ht="15" customHeight="1" x14ac:dyDescent="0.25">
      <c r="A47" s="5">
        <v>46</v>
      </c>
      <c r="B47" s="5" t="s">
        <v>491</v>
      </c>
      <c r="C47" s="5" t="s">
        <v>492</v>
      </c>
      <c r="D47" s="5" t="s">
        <v>109</v>
      </c>
      <c r="E47" s="5" t="s">
        <v>136</v>
      </c>
      <c r="F47" s="5">
        <v>128640360448</v>
      </c>
      <c r="G47" s="5"/>
      <c r="H47" s="5"/>
      <c r="I47" s="5">
        <v>85.5</v>
      </c>
      <c r="J47" s="5">
        <v>40.415627370017702</v>
      </c>
      <c r="K47" s="5"/>
      <c r="L47" s="5">
        <v>100</v>
      </c>
      <c r="M47" s="5"/>
      <c r="N47" s="5"/>
      <c r="O47" s="5"/>
      <c r="P47" s="5"/>
      <c r="Q47" s="5"/>
      <c r="R47" s="5"/>
      <c r="S47" s="5">
        <v>40.550189146456887</v>
      </c>
      <c r="T47" s="5">
        <v>21.714196973028301</v>
      </c>
      <c r="U47" s="5">
        <v>33.1299784936568</v>
      </c>
      <c r="V47" s="5"/>
      <c r="W47" s="5">
        <v>0.52845866309174871</v>
      </c>
      <c r="X47" s="5"/>
      <c r="Y47" s="5"/>
      <c r="Z47" s="5"/>
      <c r="AA47" s="5"/>
      <c r="AB47" s="5"/>
      <c r="AC47" s="5">
        <v>279.99140728657699</v>
      </c>
      <c r="AD47" s="5"/>
      <c r="AE47" s="5">
        <v>349.98925910822197</v>
      </c>
      <c r="AF47" s="5">
        <v>-377.9860971341169</v>
      </c>
      <c r="AG47" s="5">
        <v>4.1790393227106177</v>
      </c>
      <c r="AH47" s="5">
        <v>41790.393227106179</v>
      </c>
      <c r="AI47" s="5"/>
      <c r="AJ47" s="5"/>
      <c r="AK47" s="5"/>
      <c r="AL47" s="5"/>
      <c r="AM47" s="5"/>
      <c r="AN47" s="5"/>
      <c r="AO47" s="5"/>
      <c r="AP47" s="5"/>
      <c r="AQ47" s="5"/>
      <c r="AR47" s="5">
        <v>27.100000543622802</v>
      </c>
      <c r="AS47" s="5">
        <v>25</v>
      </c>
      <c r="AT47" s="5">
        <v>12.914732808421499</v>
      </c>
      <c r="AU47" s="5"/>
      <c r="AV47" s="5"/>
      <c r="AW47" s="5">
        <v>61.730629999999998</v>
      </c>
      <c r="AX47" s="5">
        <v>13.843468</v>
      </c>
      <c r="AY47" s="5">
        <v>75</v>
      </c>
      <c r="AZ47" s="5">
        <v>5.4605207718884303</v>
      </c>
      <c r="BA47" s="5">
        <v>75</v>
      </c>
      <c r="BB47" s="5"/>
      <c r="BC47" s="5" t="s">
        <v>78</v>
      </c>
      <c r="BD47" s="5" t="s">
        <v>79</v>
      </c>
      <c r="BE47" s="5"/>
      <c r="BF47" s="5"/>
      <c r="BG47" s="5" t="s">
        <v>148</v>
      </c>
      <c r="BH47" s="5" t="s">
        <v>81</v>
      </c>
    </row>
    <row r="48" spans="1:60" ht="15" customHeight="1" x14ac:dyDescent="0.25">
      <c r="A48" s="5">
        <v>47</v>
      </c>
      <c r="B48" s="5" t="s">
        <v>493</v>
      </c>
      <c r="C48" s="5" t="s">
        <v>494</v>
      </c>
      <c r="D48" s="5" t="s">
        <v>96</v>
      </c>
      <c r="E48" s="5" t="s">
        <v>97</v>
      </c>
      <c r="F48" s="5">
        <v>121211838464</v>
      </c>
      <c r="G48" s="5"/>
      <c r="H48" s="5"/>
      <c r="I48" s="5">
        <v>36</v>
      </c>
      <c r="J48" s="5">
        <v>13.4162241432541</v>
      </c>
      <c r="K48" s="5"/>
      <c r="L48" s="5">
        <v>100</v>
      </c>
      <c r="M48" s="5"/>
      <c r="N48" s="5"/>
      <c r="O48" s="5"/>
      <c r="P48" s="5"/>
      <c r="Q48" s="5"/>
      <c r="R48" s="5"/>
      <c r="S48" s="5">
        <v>33.889614403064478</v>
      </c>
      <c r="T48" s="5">
        <v>9.3906298240197597</v>
      </c>
      <c r="U48" s="5">
        <v>13.155325366135299</v>
      </c>
      <c r="V48" s="5"/>
      <c r="W48" s="5">
        <v>-0.2233161907848176</v>
      </c>
      <c r="X48" s="5"/>
      <c r="Y48" s="5"/>
      <c r="Z48" s="5"/>
      <c r="AA48" s="5"/>
      <c r="AB48" s="5"/>
      <c r="AC48" s="5">
        <v>86.560694200653202</v>
      </c>
      <c r="AD48" s="5"/>
      <c r="AE48" s="5">
        <v>108.200867750817</v>
      </c>
      <c r="AF48" s="5">
        <v>-472.77729179332113</v>
      </c>
      <c r="AG48" s="5">
        <v>0.92483909328188274</v>
      </c>
      <c r="AH48" s="5">
        <v>9248.3909328188274</v>
      </c>
      <c r="AI48" s="5"/>
      <c r="AJ48" s="5"/>
      <c r="AK48" s="5"/>
      <c r="AL48" s="5"/>
      <c r="AM48" s="5"/>
      <c r="AN48" s="5"/>
      <c r="AO48" s="5"/>
      <c r="AP48" s="5"/>
      <c r="AQ48" s="5"/>
      <c r="AR48" s="5">
        <v>12.3199999113071</v>
      </c>
      <c r="AS48" s="5">
        <v>9.4271556000000007</v>
      </c>
      <c r="AT48" s="5">
        <v>8.7825379667870607</v>
      </c>
      <c r="AU48" s="5">
        <v>0.08</v>
      </c>
      <c r="AV48" s="5">
        <v>0.20100000000000001</v>
      </c>
      <c r="AW48" s="5">
        <v>50.304386000000001</v>
      </c>
      <c r="AX48" s="5">
        <v>4.678877</v>
      </c>
      <c r="AY48" s="5">
        <v>50</v>
      </c>
      <c r="AZ48" s="5">
        <v>25.465421426366198</v>
      </c>
      <c r="BA48" s="5">
        <v>50</v>
      </c>
      <c r="BB48" s="5"/>
      <c r="BC48" s="5" t="s">
        <v>78</v>
      </c>
      <c r="BD48" s="5" t="s">
        <v>119</v>
      </c>
      <c r="BE48" s="5"/>
      <c r="BF48" s="5"/>
      <c r="BG48" s="5" t="s">
        <v>148</v>
      </c>
      <c r="BH48" s="5" t="s">
        <v>81</v>
      </c>
    </row>
    <row r="49" spans="1:60" ht="15" customHeight="1" x14ac:dyDescent="0.25">
      <c r="A49" s="5">
        <v>48</v>
      </c>
      <c r="B49" s="5" t="s">
        <v>495</v>
      </c>
      <c r="C49" s="5" t="s">
        <v>496</v>
      </c>
      <c r="D49" s="5" t="s">
        <v>408</v>
      </c>
      <c r="E49" s="5" t="s">
        <v>471</v>
      </c>
      <c r="F49" s="5">
        <v>76398313472</v>
      </c>
      <c r="G49" s="5"/>
      <c r="H49" s="5"/>
      <c r="I49" s="5">
        <v>20.5</v>
      </c>
      <c r="J49" s="5">
        <v>9.6151091048700206</v>
      </c>
      <c r="K49" s="5"/>
      <c r="L49" s="5">
        <v>100</v>
      </c>
      <c r="M49" s="5"/>
      <c r="N49" s="5"/>
      <c r="O49" s="5"/>
      <c r="P49" s="5"/>
      <c r="Q49" s="5"/>
      <c r="R49" s="5"/>
      <c r="S49" s="5">
        <v>37.667064078689762</v>
      </c>
      <c r="T49" s="5">
        <v>7.77052744996233</v>
      </c>
      <c r="U49" s="5">
        <v>8.9320294850171091</v>
      </c>
      <c r="V49" s="5"/>
      <c r="W49" s="5">
        <v>-4.5192902554815086</v>
      </c>
      <c r="X49" s="5"/>
      <c r="Y49" s="5"/>
      <c r="Z49" s="5"/>
      <c r="AA49" s="5"/>
      <c r="AB49" s="5"/>
      <c r="AC49" s="5">
        <v>463.80028749611199</v>
      </c>
      <c r="AD49" s="5"/>
      <c r="AE49" s="5">
        <v>579.75035937014002</v>
      </c>
      <c r="AF49" s="5">
        <v>-306.70953659463049</v>
      </c>
      <c r="AG49" s="5">
        <v>0.66281158479493896</v>
      </c>
      <c r="AH49" s="5">
        <v>6628.1158479493897</v>
      </c>
      <c r="AI49" s="5"/>
      <c r="AJ49" s="5"/>
      <c r="AK49" s="5"/>
      <c r="AL49" s="5"/>
      <c r="AM49" s="5"/>
      <c r="AN49" s="5"/>
      <c r="AO49" s="5"/>
      <c r="AP49" s="5"/>
      <c r="AQ49" s="5"/>
      <c r="AR49" s="5">
        <v>54.920002975498399</v>
      </c>
      <c r="AS49" s="5">
        <v>6.3833083999999998</v>
      </c>
      <c r="AT49" s="5">
        <v>10.556270199747599</v>
      </c>
      <c r="AU49" s="5">
        <v>0.53</v>
      </c>
      <c r="AV49" s="5">
        <v>0.76400000000000001</v>
      </c>
      <c r="AW49" s="5">
        <v>42.933357000000001</v>
      </c>
      <c r="AX49" s="5">
        <v>3.8654225000000002</v>
      </c>
      <c r="AY49" s="5">
        <v>50</v>
      </c>
      <c r="AZ49" s="5">
        <v>6.1940575134631901</v>
      </c>
      <c r="BA49" s="5">
        <v>50</v>
      </c>
      <c r="BB49" s="5"/>
      <c r="BC49" s="5" t="s">
        <v>78</v>
      </c>
      <c r="BD49" s="5" t="s">
        <v>119</v>
      </c>
      <c r="BE49" s="5"/>
      <c r="BF49" s="5"/>
      <c r="BG49" s="5" t="s">
        <v>148</v>
      </c>
      <c r="BH49" s="5" t="s">
        <v>81</v>
      </c>
    </row>
    <row r="50" spans="1:60" ht="15" customHeight="1" x14ac:dyDescent="0.25">
      <c r="A50" s="5">
        <v>49</v>
      </c>
      <c r="B50" s="5" t="s">
        <v>497</v>
      </c>
      <c r="C50" s="5" t="s">
        <v>498</v>
      </c>
      <c r="D50" s="5" t="s">
        <v>60</v>
      </c>
      <c r="E50" s="5" t="s">
        <v>264</v>
      </c>
      <c r="F50" s="5">
        <v>173939261440</v>
      </c>
      <c r="G50" s="5"/>
      <c r="H50" s="5"/>
      <c r="I50" s="5">
        <v>46</v>
      </c>
      <c r="J50" s="5">
        <v>17.9669155234802</v>
      </c>
      <c r="K50" s="5"/>
      <c r="L50" s="5">
        <v>100</v>
      </c>
      <c r="M50" s="5"/>
      <c r="N50" s="5"/>
      <c r="O50" s="5"/>
      <c r="P50" s="5"/>
      <c r="Q50" s="5"/>
      <c r="R50" s="5"/>
      <c r="S50" s="5">
        <v>60.364140398399563</v>
      </c>
      <c r="T50" s="5">
        <v>14.6793722546181</v>
      </c>
      <c r="U50" s="5">
        <v>19.733710270585298</v>
      </c>
      <c r="V50" s="5"/>
      <c r="W50" s="5">
        <v>1.7369812967802909</v>
      </c>
      <c r="X50" s="5"/>
      <c r="Y50" s="5"/>
      <c r="Z50" s="5"/>
      <c r="AA50" s="5"/>
      <c r="AB50" s="5"/>
      <c r="AC50" s="5">
        <v>583.53762480513001</v>
      </c>
      <c r="AD50" s="5"/>
      <c r="AE50" s="5">
        <v>729.42203100641302</v>
      </c>
      <c r="AF50" s="5">
        <v>-151.15775533573009</v>
      </c>
      <c r="AG50" s="5">
        <v>2.4770763643156162</v>
      </c>
      <c r="AH50" s="5">
        <v>24770.763643156159</v>
      </c>
      <c r="AI50" s="5"/>
      <c r="AJ50" s="5"/>
      <c r="AK50" s="5"/>
      <c r="AL50" s="5"/>
      <c r="AM50" s="5"/>
      <c r="AN50" s="5"/>
      <c r="AO50" s="5"/>
      <c r="AP50" s="5"/>
      <c r="AQ50" s="5"/>
      <c r="AR50" s="5">
        <v>20.3199998226779</v>
      </c>
      <c r="AS50" s="5">
        <v>14.258650936024001</v>
      </c>
      <c r="AT50" s="5">
        <v>35.896753494410099</v>
      </c>
      <c r="AU50" s="5">
        <v>0.12</v>
      </c>
      <c r="AV50" s="5">
        <v>0.504</v>
      </c>
      <c r="AW50" s="5">
        <v>90.157480000000007</v>
      </c>
      <c r="AX50" s="5">
        <v>13.234030000000001</v>
      </c>
      <c r="AY50" s="5">
        <v>100</v>
      </c>
      <c r="AZ50" s="5">
        <v>21.8829759848687</v>
      </c>
      <c r="BA50" s="5">
        <v>100</v>
      </c>
      <c r="BB50" s="5"/>
      <c r="BC50" s="5" t="s">
        <v>78</v>
      </c>
      <c r="BD50" s="5" t="s">
        <v>119</v>
      </c>
      <c r="BE50" s="5"/>
      <c r="BF50" s="5"/>
      <c r="BG50" s="5" t="s">
        <v>80</v>
      </c>
      <c r="BH50" s="5" t="s">
        <v>81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15"/>
  <sheetViews>
    <sheetView topLeftCell="U1" zoomScaleNormal="100" workbookViewId="0">
      <pane ySplit="1" topLeftCell="A14" activePane="bottomLeft" state="frozen"/>
      <selection activeCell="U1" sqref="U1"/>
      <selection pane="bottomLeft" activeCell="X4" sqref="X4"/>
    </sheetView>
  </sheetViews>
  <sheetFormatPr defaultColWidth="8.7109375" defaultRowHeight="15" x14ac:dyDescent="0.25"/>
  <cols>
    <col min="1" max="3" width="15" customWidth="1"/>
    <col min="4" max="4" width="19" customWidth="1"/>
    <col min="5" max="5" width="15" customWidth="1"/>
    <col min="6" max="6" width="18" customWidth="1"/>
    <col min="7" max="9" width="15" customWidth="1"/>
    <col min="10" max="10" width="22" customWidth="1"/>
    <col min="11" max="11" width="17" customWidth="1"/>
    <col min="12" max="16" width="15" customWidth="1"/>
    <col min="17" max="17" width="20" customWidth="1"/>
    <col min="18" max="18" width="16" customWidth="1"/>
    <col min="19" max="23" width="15" customWidth="1"/>
    <col min="24" max="24" width="19" customWidth="1"/>
    <col min="25" max="25" width="32.7109375" customWidth="1"/>
  </cols>
  <sheetData>
    <row r="1" spans="1:25" ht="15" customHeight="1" x14ac:dyDescent="0.25">
      <c r="A1" s="1" t="s">
        <v>1</v>
      </c>
      <c r="B1" s="1" t="s">
        <v>520</v>
      </c>
      <c r="C1" s="1" t="s">
        <v>521</v>
      </c>
      <c r="D1" s="1" t="s">
        <v>23</v>
      </c>
      <c r="E1" s="1" t="s">
        <v>522</v>
      </c>
      <c r="F1" s="1" t="s">
        <v>523</v>
      </c>
      <c r="G1" s="1" t="s">
        <v>524</v>
      </c>
      <c r="H1" s="1" t="s">
        <v>525</v>
      </c>
      <c r="I1" s="1" t="s">
        <v>24</v>
      </c>
      <c r="J1" s="1" t="s">
        <v>526</v>
      </c>
      <c r="K1" s="1" t="s">
        <v>527</v>
      </c>
      <c r="L1" s="1" t="s">
        <v>22</v>
      </c>
      <c r="M1" s="1" t="s">
        <v>19</v>
      </c>
      <c r="N1" s="1" t="s">
        <v>20</v>
      </c>
      <c r="O1" s="1" t="s">
        <v>528</v>
      </c>
      <c r="P1" s="1" t="s">
        <v>21</v>
      </c>
      <c r="Q1" s="1" t="s">
        <v>529</v>
      </c>
      <c r="R1" s="1" t="s">
        <v>530</v>
      </c>
      <c r="S1" s="1" t="s">
        <v>48</v>
      </c>
      <c r="T1" s="1" t="s">
        <v>16</v>
      </c>
      <c r="U1" s="1" t="s">
        <v>17</v>
      </c>
      <c r="V1" s="1" t="s">
        <v>18</v>
      </c>
      <c r="W1" s="1" t="s">
        <v>49</v>
      </c>
      <c r="X1" s="1" t="s">
        <v>531</v>
      </c>
      <c r="Y1" s="1" t="s">
        <v>532</v>
      </c>
    </row>
    <row r="2" spans="1:25" ht="15" customHeight="1" x14ac:dyDescent="0.25">
      <c r="A2" t="s">
        <v>94</v>
      </c>
      <c r="B2" t="s">
        <v>533</v>
      </c>
      <c r="D2">
        <v>23</v>
      </c>
      <c r="M2">
        <v>29.1</v>
      </c>
      <c r="N2">
        <v>28.4</v>
      </c>
      <c r="X2" t="s">
        <v>534</v>
      </c>
      <c r="Y2" t="s">
        <v>535</v>
      </c>
    </row>
    <row r="3" spans="1:25" ht="15" customHeight="1" x14ac:dyDescent="0.25">
      <c r="A3" t="s">
        <v>149</v>
      </c>
      <c r="B3" t="s">
        <v>536</v>
      </c>
      <c r="C3">
        <v>11602</v>
      </c>
      <c r="D3">
        <v>13</v>
      </c>
      <c r="G3">
        <v>2242</v>
      </c>
      <c r="M3">
        <v>28.2</v>
      </c>
      <c r="N3">
        <v>36.299999999999997</v>
      </c>
      <c r="P3">
        <v>3.0000000000000001E-3</v>
      </c>
      <c r="S3">
        <v>64.3</v>
      </c>
      <c r="X3">
        <v>0.95</v>
      </c>
      <c r="Y3" t="s">
        <v>537</v>
      </c>
    </row>
    <row r="4" spans="1:25" ht="15" customHeight="1" x14ac:dyDescent="0.25">
      <c r="A4" t="s">
        <v>200</v>
      </c>
      <c r="B4" t="s">
        <v>533</v>
      </c>
      <c r="G4">
        <v>80032</v>
      </c>
      <c r="M4">
        <v>18.57</v>
      </c>
      <c r="O4">
        <v>1.1200000000000001</v>
      </c>
      <c r="S4">
        <v>11.6</v>
      </c>
      <c r="Y4" t="s">
        <v>538</v>
      </c>
    </row>
    <row r="5" spans="1:25" ht="15" customHeight="1" x14ac:dyDescent="0.25">
      <c r="A5" t="s">
        <v>224</v>
      </c>
      <c r="B5" t="s">
        <v>536</v>
      </c>
      <c r="C5">
        <v>56815</v>
      </c>
      <c r="G5">
        <v>4806</v>
      </c>
      <c r="M5">
        <v>13.3</v>
      </c>
      <c r="S5">
        <v>25.3</v>
      </c>
      <c r="X5">
        <v>3.62</v>
      </c>
      <c r="Y5" t="s">
        <v>539</v>
      </c>
    </row>
    <row r="6" spans="1:25" ht="15" customHeight="1" x14ac:dyDescent="0.25">
      <c r="A6" t="s">
        <v>233</v>
      </c>
      <c r="B6" t="s">
        <v>536</v>
      </c>
      <c r="G6">
        <v>19147</v>
      </c>
      <c r="M6">
        <v>14.7</v>
      </c>
      <c r="N6">
        <v>17.850000000000001</v>
      </c>
      <c r="P6">
        <v>1.1200000000000001</v>
      </c>
      <c r="S6">
        <v>33.799999999999997</v>
      </c>
      <c r="Y6" t="s">
        <v>540</v>
      </c>
    </row>
    <row r="7" spans="1:25" ht="15" customHeight="1" x14ac:dyDescent="0.25">
      <c r="A7" t="s">
        <v>262</v>
      </c>
      <c r="B7" t="s">
        <v>533</v>
      </c>
      <c r="C7">
        <v>1103</v>
      </c>
      <c r="D7">
        <v>-88</v>
      </c>
      <c r="G7">
        <v>-909</v>
      </c>
      <c r="M7">
        <v>-4.01</v>
      </c>
      <c r="N7">
        <v>-4.83</v>
      </c>
      <c r="Y7" t="s">
        <v>541</v>
      </c>
    </row>
    <row r="8" spans="1:25" ht="15" customHeight="1" x14ac:dyDescent="0.25">
      <c r="A8" t="s">
        <v>275</v>
      </c>
      <c r="B8" t="s">
        <v>533</v>
      </c>
      <c r="C8">
        <v>2022.96</v>
      </c>
      <c r="D8">
        <v>43.97</v>
      </c>
      <c r="G8">
        <v>498.92</v>
      </c>
      <c r="M8">
        <v>8.4</v>
      </c>
      <c r="N8">
        <v>8.4</v>
      </c>
      <c r="P8">
        <v>0.65</v>
      </c>
      <c r="S8">
        <v>26</v>
      </c>
      <c r="Y8" t="s">
        <v>542</v>
      </c>
    </row>
    <row r="9" spans="1:25" ht="15" customHeight="1" x14ac:dyDescent="0.25">
      <c r="A9" t="s">
        <v>286</v>
      </c>
      <c r="B9" t="s">
        <v>536</v>
      </c>
      <c r="C9">
        <v>703</v>
      </c>
      <c r="M9">
        <v>5.72</v>
      </c>
      <c r="S9">
        <v>33</v>
      </c>
      <c r="Y9" t="s">
        <v>543</v>
      </c>
    </row>
    <row r="10" spans="1:25" ht="15" customHeight="1" x14ac:dyDescent="0.25">
      <c r="A10" t="s">
        <v>544</v>
      </c>
      <c r="B10" t="s">
        <v>545</v>
      </c>
      <c r="D10">
        <v>-43.1</v>
      </c>
      <c r="G10">
        <v>41.55</v>
      </c>
      <c r="S10">
        <v>62.7</v>
      </c>
      <c r="Y10" t="s">
        <v>546</v>
      </c>
    </row>
    <row r="11" spans="1:25" ht="15" customHeight="1" x14ac:dyDescent="0.25">
      <c r="A11" t="s">
        <v>307</v>
      </c>
      <c r="B11" t="s">
        <v>533</v>
      </c>
      <c r="C11">
        <v>115444</v>
      </c>
      <c r="G11">
        <v>33625</v>
      </c>
      <c r="M11">
        <v>19.489999999999998</v>
      </c>
      <c r="S11">
        <v>6.5</v>
      </c>
      <c r="X11">
        <v>5.16</v>
      </c>
      <c r="Y11" t="s">
        <v>547</v>
      </c>
    </row>
    <row r="12" spans="1:25" ht="15" customHeight="1" x14ac:dyDescent="0.25">
      <c r="A12" t="s">
        <v>320</v>
      </c>
      <c r="B12" t="s">
        <v>533</v>
      </c>
      <c r="C12">
        <v>78213.279999999999</v>
      </c>
      <c r="G12">
        <v>20689.47</v>
      </c>
      <c r="M12">
        <v>35.200000000000003</v>
      </c>
      <c r="S12">
        <v>17.600000000000001</v>
      </c>
      <c r="X12">
        <v>5</v>
      </c>
      <c r="Y12" t="s">
        <v>548</v>
      </c>
    </row>
    <row r="13" spans="1:25" ht="15" customHeight="1" x14ac:dyDescent="0.25">
      <c r="A13" t="s">
        <v>331</v>
      </c>
      <c r="B13" t="s">
        <v>536</v>
      </c>
      <c r="C13">
        <v>23408</v>
      </c>
      <c r="G13">
        <v>5515</v>
      </c>
      <c r="M13">
        <v>24</v>
      </c>
      <c r="S13">
        <v>38</v>
      </c>
      <c r="X13">
        <v>0.99</v>
      </c>
      <c r="Y13" t="s">
        <v>549</v>
      </c>
    </row>
    <row r="14" spans="1:25" ht="15" customHeight="1" x14ac:dyDescent="0.25">
      <c r="A14" t="s">
        <v>341</v>
      </c>
      <c r="B14" t="s">
        <v>533</v>
      </c>
      <c r="C14">
        <v>6062.5</v>
      </c>
      <c r="G14">
        <v>777.6</v>
      </c>
      <c r="M14">
        <v>10.7</v>
      </c>
      <c r="O14">
        <v>2.7</v>
      </c>
      <c r="S14">
        <v>41.9</v>
      </c>
      <c r="Y14" t="s">
        <v>550</v>
      </c>
    </row>
    <row r="15" spans="1:25" ht="15" customHeight="1" x14ac:dyDescent="0.25">
      <c r="A15" t="s">
        <v>351</v>
      </c>
      <c r="B15" t="s">
        <v>533</v>
      </c>
      <c r="C15">
        <v>130772</v>
      </c>
      <c r="G15">
        <v>18467</v>
      </c>
      <c r="M15">
        <v>14.9</v>
      </c>
      <c r="O15">
        <v>0.9</v>
      </c>
      <c r="S15">
        <v>7.3</v>
      </c>
      <c r="Y15" t="s">
        <v>551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1" width="15" customWidth="1"/>
    <col min="2" max="2" width="16" customWidth="1"/>
    <col min="3" max="3" width="15" customWidth="1"/>
    <col min="4" max="4" width="20" customWidth="1"/>
    <col min="5" max="5" width="21" customWidth="1"/>
    <col min="6" max="6" width="22" customWidth="1"/>
    <col min="7" max="7" width="25" customWidth="1"/>
    <col min="8" max="8" width="15" customWidth="1"/>
    <col min="9" max="9" width="18" customWidth="1"/>
    <col min="10" max="11" width="15" customWidth="1"/>
    <col min="12" max="12" width="18" customWidth="1"/>
  </cols>
  <sheetData>
    <row r="1" spans="1:12" ht="15" customHeight="1" x14ac:dyDescent="0.25">
      <c r="A1" s="1" t="s">
        <v>1</v>
      </c>
      <c r="B1" s="1" t="s">
        <v>552</v>
      </c>
      <c r="C1" s="1" t="s">
        <v>553</v>
      </c>
      <c r="D1" s="1" t="s">
        <v>38</v>
      </c>
      <c r="E1" s="1" t="s">
        <v>554</v>
      </c>
      <c r="F1" s="1" t="s">
        <v>555</v>
      </c>
      <c r="G1" s="1" t="s">
        <v>556</v>
      </c>
      <c r="H1" s="1" t="s">
        <v>39</v>
      </c>
      <c r="I1" s="1" t="s">
        <v>557</v>
      </c>
      <c r="J1" s="1" t="s">
        <v>558</v>
      </c>
      <c r="K1" s="1" t="s">
        <v>559</v>
      </c>
      <c r="L1" s="1" t="s">
        <v>560</v>
      </c>
    </row>
    <row r="2" spans="1:12" ht="15" customHeight="1" x14ac:dyDescent="0.25">
      <c r="A2" t="s">
        <v>561</v>
      </c>
      <c r="B2" t="s">
        <v>68</v>
      </c>
      <c r="C2" t="s">
        <v>562</v>
      </c>
      <c r="D2" t="s">
        <v>563</v>
      </c>
      <c r="E2" t="s">
        <v>564</v>
      </c>
      <c r="F2" t="s">
        <v>565</v>
      </c>
      <c r="G2" t="s">
        <v>566</v>
      </c>
      <c r="H2" t="s">
        <v>567</v>
      </c>
      <c r="I2" t="s">
        <v>568</v>
      </c>
      <c r="J2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5"/>
  <sheetViews>
    <sheetView zoomScaleNormal="100" workbookViewId="0">
      <pane ySplit="1" topLeftCell="A2" activePane="bottomLeft" state="frozen"/>
      <selection pane="bottomLeft" activeCell="A5" sqref="A5"/>
    </sheetView>
  </sheetViews>
  <sheetFormatPr defaultColWidth="8.7109375" defaultRowHeight="15" x14ac:dyDescent="0.25"/>
  <cols>
    <col min="1" max="5" width="15" customWidth="1"/>
    <col min="6" max="6" width="20" customWidth="1"/>
    <col min="7" max="8" width="16" customWidth="1"/>
    <col min="9" max="9" width="17" customWidth="1"/>
    <col min="10" max="10" width="15" customWidth="1"/>
    <col min="11" max="12" width="22" customWidth="1"/>
    <col min="13" max="13" width="21" customWidth="1"/>
    <col min="14" max="14" width="15" customWidth="1"/>
  </cols>
  <sheetData>
    <row r="1" spans="1:14" ht="15" customHeight="1" x14ac:dyDescent="0.25">
      <c r="A1" s="1" t="s">
        <v>1</v>
      </c>
      <c r="B1" s="1" t="s">
        <v>2</v>
      </c>
      <c r="C1" s="1" t="s">
        <v>569</v>
      </c>
      <c r="D1" s="1" t="s">
        <v>28</v>
      </c>
      <c r="E1" s="1" t="s">
        <v>570</v>
      </c>
      <c r="F1" s="1" t="s">
        <v>571</v>
      </c>
      <c r="G1" s="1" t="s">
        <v>29</v>
      </c>
      <c r="H1" s="1" t="s">
        <v>572</v>
      </c>
      <c r="I1" s="1" t="s">
        <v>573</v>
      </c>
      <c r="J1" s="1" t="s">
        <v>574</v>
      </c>
      <c r="K1" s="1" t="s">
        <v>32</v>
      </c>
      <c r="L1" s="1" t="s">
        <v>575</v>
      </c>
      <c r="M1" s="1" t="s">
        <v>576</v>
      </c>
      <c r="N1" s="1" t="s">
        <v>34</v>
      </c>
    </row>
    <row r="2" spans="1:14" ht="15" customHeight="1" x14ac:dyDescent="0.25">
      <c r="A2" t="s">
        <v>577</v>
      </c>
      <c r="B2" t="s">
        <v>561</v>
      </c>
      <c r="D2" s="11"/>
      <c r="F2" s="12"/>
      <c r="G2" s="13" t="str">
        <f>IF(B2="","",IFERROR(VLOOKUP(B2&amp;"*",'Master Universe'!$C:$AD,33,FALSE()),""))</f>
        <v/>
      </c>
      <c r="H2" s="14" t="str">
        <f t="shared" ref="H2:H15" si="0">IF(OR(E2="",G2=""),"",ROUND(E2*G2,0))</f>
        <v/>
      </c>
      <c r="I2" s="14" t="str">
        <f t="shared" ref="I2:I15" si="1">IF(OR(H2="",F2=""),"",H2-F2)</f>
        <v/>
      </c>
      <c r="J2" s="15" t="str">
        <f t="shared" ref="J2:J15" si="2">IF(OR(I2="",F2="",F2=0),"",ROUND(I2/F2*100,1))</f>
        <v/>
      </c>
      <c r="K2" t="s">
        <v>508</v>
      </c>
      <c r="L2" s="15" t="str">
        <f t="shared" ref="L2:L15" si="3">IF(H2="","",ROUND(H2/SUM($H$2:$H$15)*100,1))</f>
        <v/>
      </c>
      <c r="M2" s="2" t="str">
        <f t="shared" ref="M2:M15" si="4">IF(OR(L2="",K2=""),"",IF(ABS(L2-VALUE(SUBSTITUTE(K2,"%","")))&gt;5,"Yes","No"))</f>
        <v/>
      </c>
      <c r="N2" t="s">
        <v>62</v>
      </c>
    </row>
    <row r="3" spans="1:14" ht="15" customHeight="1" x14ac:dyDescent="0.25">
      <c r="A3" t="s">
        <v>82</v>
      </c>
      <c r="B3" t="s">
        <v>578</v>
      </c>
      <c r="D3" s="11"/>
      <c r="F3" s="12"/>
      <c r="G3" s="13" t="str">
        <f>IF(B3="","",IFERROR(VLOOKUP(B3&amp;"*",'Master Universe'!$C:$AD,33,FALSE()),""))</f>
        <v/>
      </c>
      <c r="H3" s="14" t="str">
        <f t="shared" si="0"/>
        <v/>
      </c>
      <c r="I3" s="14" t="str">
        <f t="shared" si="1"/>
        <v/>
      </c>
      <c r="J3" s="15" t="str">
        <f t="shared" si="2"/>
        <v/>
      </c>
      <c r="K3" t="s">
        <v>508</v>
      </c>
      <c r="L3" s="15" t="str">
        <f t="shared" si="3"/>
        <v/>
      </c>
      <c r="M3" s="2" t="str">
        <f t="shared" si="4"/>
        <v/>
      </c>
      <c r="N3" t="s">
        <v>62</v>
      </c>
    </row>
    <row r="4" spans="1:14" ht="15" customHeight="1" x14ac:dyDescent="0.25">
      <c r="A4" t="s">
        <v>94</v>
      </c>
      <c r="B4" t="s">
        <v>579</v>
      </c>
      <c r="D4" s="11"/>
      <c r="F4" s="12"/>
      <c r="G4" s="13" t="str">
        <f>IF(B4="","",IFERROR(VLOOKUP(B4&amp;"*",'Master Universe'!$C:$AD,33,FALSE()),""))</f>
        <v/>
      </c>
      <c r="H4" s="14" t="str">
        <f t="shared" si="0"/>
        <v/>
      </c>
      <c r="I4" s="14" t="str">
        <f t="shared" si="1"/>
        <v/>
      </c>
      <c r="J4" s="15" t="str">
        <f t="shared" si="2"/>
        <v/>
      </c>
      <c r="K4" t="s">
        <v>508</v>
      </c>
      <c r="L4" s="15" t="str">
        <f t="shared" si="3"/>
        <v/>
      </c>
      <c r="M4" s="2" t="str">
        <f t="shared" si="4"/>
        <v/>
      </c>
      <c r="N4" t="s">
        <v>62</v>
      </c>
    </row>
    <row r="5" spans="1:14" ht="15" customHeight="1" x14ac:dyDescent="0.25">
      <c r="A5" t="s">
        <v>107</v>
      </c>
      <c r="B5" t="s">
        <v>580</v>
      </c>
      <c r="D5" s="11"/>
      <c r="F5" s="12"/>
      <c r="G5" s="13" t="str">
        <f>IF(B5="","",IFERROR(VLOOKUP(B5&amp;"*",'Master Universe'!$C:$AD,33,FALSE()),""))</f>
        <v/>
      </c>
      <c r="H5" s="14" t="str">
        <f t="shared" si="0"/>
        <v/>
      </c>
      <c r="I5" s="14" t="str">
        <f t="shared" si="1"/>
        <v/>
      </c>
      <c r="J5" s="15" t="str">
        <f t="shared" si="2"/>
        <v/>
      </c>
      <c r="K5" t="s">
        <v>508</v>
      </c>
      <c r="L5" s="15" t="str">
        <f t="shared" si="3"/>
        <v/>
      </c>
      <c r="M5" s="2" t="str">
        <f t="shared" si="4"/>
        <v/>
      </c>
      <c r="N5" t="s">
        <v>62</v>
      </c>
    </row>
    <row r="6" spans="1:14" ht="15" customHeight="1" x14ac:dyDescent="0.25">
      <c r="D6" s="11"/>
      <c r="F6" s="12"/>
      <c r="G6" s="13" t="str">
        <f>IF(B6="","",IFERROR(VLOOKUP(B6&amp;"*",'Master Universe'!$C:$AD,33,FALSE()),""))</f>
        <v/>
      </c>
      <c r="H6" s="14" t="str">
        <f t="shared" si="0"/>
        <v/>
      </c>
      <c r="I6" s="14" t="str">
        <f t="shared" si="1"/>
        <v/>
      </c>
      <c r="J6" s="15" t="str">
        <f t="shared" si="2"/>
        <v/>
      </c>
      <c r="L6" s="15" t="str">
        <f t="shared" si="3"/>
        <v/>
      </c>
      <c r="M6" s="2" t="str">
        <f t="shared" si="4"/>
        <v/>
      </c>
    </row>
    <row r="7" spans="1:14" ht="15" customHeight="1" x14ac:dyDescent="0.25">
      <c r="D7" s="11"/>
      <c r="F7" s="12"/>
      <c r="G7" s="13" t="str">
        <f>IF(B7="","",IFERROR(VLOOKUP(B7&amp;"*",'Master Universe'!$C:$AD,33,FALSE()),""))</f>
        <v/>
      </c>
      <c r="H7" s="14" t="str">
        <f t="shared" si="0"/>
        <v/>
      </c>
      <c r="I7" s="14" t="str">
        <f t="shared" si="1"/>
        <v/>
      </c>
      <c r="J7" s="15" t="str">
        <f t="shared" si="2"/>
        <v/>
      </c>
      <c r="L7" s="15" t="str">
        <f t="shared" si="3"/>
        <v/>
      </c>
      <c r="M7" s="2" t="str">
        <f t="shared" si="4"/>
        <v/>
      </c>
    </row>
    <row r="8" spans="1:14" ht="15" customHeight="1" x14ac:dyDescent="0.25">
      <c r="D8" s="11"/>
      <c r="F8" s="12"/>
      <c r="G8" s="13" t="str">
        <f>IF(B8="","",IFERROR(VLOOKUP(B8&amp;"*",'Master Universe'!$C:$AD,33,FALSE()),""))</f>
        <v/>
      </c>
      <c r="H8" s="14" t="str">
        <f t="shared" si="0"/>
        <v/>
      </c>
      <c r="I8" s="14" t="str">
        <f t="shared" si="1"/>
        <v/>
      </c>
      <c r="J8" s="15" t="str">
        <f t="shared" si="2"/>
        <v/>
      </c>
      <c r="L8" s="15" t="str">
        <f t="shared" si="3"/>
        <v/>
      </c>
      <c r="M8" s="2" t="str">
        <f t="shared" si="4"/>
        <v/>
      </c>
    </row>
    <row r="9" spans="1:14" ht="15" customHeight="1" x14ac:dyDescent="0.25">
      <c r="D9" s="11"/>
      <c r="F9" s="12"/>
      <c r="G9" s="13" t="str">
        <f>IF(B9="","",IFERROR(VLOOKUP(B9&amp;"*",'Master Universe'!$C:$AD,33,FALSE()),""))</f>
        <v/>
      </c>
      <c r="H9" s="14" t="str">
        <f t="shared" si="0"/>
        <v/>
      </c>
      <c r="I9" s="14" t="str">
        <f t="shared" si="1"/>
        <v/>
      </c>
      <c r="J9" s="15" t="str">
        <f t="shared" si="2"/>
        <v/>
      </c>
      <c r="L9" s="15" t="str">
        <f t="shared" si="3"/>
        <v/>
      </c>
      <c r="M9" s="2" t="str">
        <f t="shared" si="4"/>
        <v/>
      </c>
    </row>
    <row r="10" spans="1:14" ht="15" customHeight="1" x14ac:dyDescent="0.25">
      <c r="D10" s="11"/>
      <c r="F10" s="12"/>
      <c r="G10" s="13" t="str">
        <f>IF(B10="","",IFERROR(VLOOKUP(B10&amp;"*",'Master Universe'!$C:$AD,33,FALSE()),""))</f>
        <v/>
      </c>
      <c r="H10" s="14" t="str">
        <f t="shared" si="0"/>
        <v/>
      </c>
      <c r="I10" s="14" t="str">
        <f t="shared" si="1"/>
        <v/>
      </c>
      <c r="J10" s="15" t="str">
        <f t="shared" si="2"/>
        <v/>
      </c>
      <c r="L10" s="15" t="str">
        <f t="shared" si="3"/>
        <v/>
      </c>
      <c r="M10" s="2" t="str">
        <f t="shared" si="4"/>
        <v/>
      </c>
    </row>
    <row r="11" spans="1:14" ht="15" customHeight="1" x14ac:dyDescent="0.25">
      <c r="D11" s="11"/>
      <c r="F11" s="12"/>
      <c r="G11" s="13" t="str">
        <f>IF(B11="","",IFERROR(VLOOKUP(B11&amp;"*",'Master Universe'!$C:$AD,33,FALSE()),""))</f>
        <v/>
      </c>
      <c r="H11" s="14" t="str">
        <f t="shared" si="0"/>
        <v/>
      </c>
      <c r="I11" s="14" t="str">
        <f t="shared" si="1"/>
        <v/>
      </c>
      <c r="J11" s="15" t="str">
        <f t="shared" si="2"/>
        <v/>
      </c>
      <c r="L11" s="15" t="str">
        <f t="shared" si="3"/>
        <v/>
      </c>
      <c r="M11" s="2" t="str">
        <f t="shared" si="4"/>
        <v/>
      </c>
    </row>
    <row r="12" spans="1:14" ht="15" customHeight="1" x14ac:dyDescent="0.25">
      <c r="D12" s="11"/>
      <c r="F12" s="12"/>
      <c r="G12" s="13" t="str">
        <f>IF(B12="","",IFERROR(VLOOKUP(B12&amp;"*",'Master Universe'!$C:$AD,33,FALSE()),""))</f>
        <v/>
      </c>
      <c r="H12" s="14" t="str">
        <f t="shared" si="0"/>
        <v/>
      </c>
      <c r="I12" s="14" t="str">
        <f t="shared" si="1"/>
        <v/>
      </c>
      <c r="J12" s="15" t="str">
        <f t="shared" si="2"/>
        <v/>
      </c>
      <c r="L12" s="15" t="str">
        <f t="shared" si="3"/>
        <v/>
      </c>
      <c r="M12" s="2" t="str">
        <f t="shared" si="4"/>
        <v/>
      </c>
    </row>
    <row r="13" spans="1:14" ht="15" customHeight="1" x14ac:dyDescent="0.25">
      <c r="D13" s="11"/>
      <c r="F13" s="12"/>
      <c r="G13" s="13" t="str">
        <f>IF(B13="","",IFERROR(VLOOKUP(B13&amp;"*",'Master Universe'!$C:$AD,33,FALSE()),""))</f>
        <v/>
      </c>
      <c r="H13" s="14" t="str">
        <f t="shared" si="0"/>
        <v/>
      </c>
      <c r="I13" s="14" t="str">
        <f t="shared" si="1"/>
        <v/>
      </c>
      <c r="J13" s="15" t="str">
        <f t="shared" si="2"/>
        <v/>
      </c>
      <c r="L13" s="15" t="str">
        <f t="shared" si="3"/>
        <v/>
      </c>
      <c r="M13" s="2" t="str">
        <f t="shared" si="4"/>
        <v/>
      </c>
    </row>
    <row r="14" spans="1:14" ht="15" customHeight="1" x14ac:dyDescent="0.25">
      <c r="D14" s="11"/>
      <c r="F14" s="12"/>
      <c r="G14" s="13" t="str">
        <f>IF(B14="","",IFERROR(VLOOKUP(B14&amp;"*",'Master Universe'!$C:$AD,33,FALSE()),""))</f>
        <v/>
      </c>
      <c r="H14" s="14" t="str">
        <f t="shared" si="0"/>
        <v/>
      </c>
      <c r="I14" s="14" t="str">
        <f t="shared" si="1"/>
        <v/>
      </c>
      <c r="J14" s="15" t="str">
        <f t="shared" si="2"/>
        <v/>
      </c>
      <c r="L14" s="15" t="str">
        <f t="shared" si="3"/>
        <v/>
      </c>
      <c r="M14" s="2" t="str">
        <f t="shared" si="4"/>
        <v/>
      </c>
    </row>
    <row r="15" spans="1:14" ht="15" customHeight="1" x14ac:dyDescent="0.25">
      <c r="D15" s="11"/>
      <c r="F15" s="12"/>
      <c r="G15" s="13" t="str">
        <f>IF(B15="","",IFERROR(VLOOKUP(B15&amp;"*",'Master Universe'!$C:$AD,33,FALSE()),""))</f>
        <v/>
      </c>
      <c r="H15" s="14" t="str">
        <f t="shared" si="0"/>
        <v/>
      </c>
      <c r="I15" s="14" t="str">
        <f t="shared" si="1"/>
        <v/>
      </c>
      <c r="J15" s="15" t="str">
        <f t="shared" si="2"/>
        <v/>
      </c>
      <c r="L15" s="15" t="str">
        <f t="shared" si="3"/>
        <v/>
      </c>
      <c r="M15" s="2" t="str">
        <f t="shared" si="4"/>
        <v/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5" customWidth="1"/>
    <col min="3" max="3" width="20" customWidth="1"/>
    <col min="4" max="5" width="15" customWidth="1"/>
    <col min="6" max="6" width="16" customWidth="1"/>
    <col min="7" max="8" width="18" customWidth="1"/>
    <col min="9" max="10" width="15" customWidth="1"/>
  </cols>
  <sheetData>
    <row r="1" spans="1:10" ht="15" customHeight="1" x14ac:dyDescent="0.25">
      <c r="A1" s="1" t="s">
        <v>1</v>
      </c>
      <c r="B1" s="1" t="s">
        <v>581</v>
      </c>
      <c r="C1" s="1" t="s">
        <v>582</v>
      </c>
      <c r="D1" s="1" t="s">
        <v>583</v>
      </c>
      <c r="E1" s="1" t="s">
        <v>584</v>
      </c>
      <c r="F1" s="1" t="s">
        <v>585</v>
      </c>
      <c r="G1" s="1" t="s">
        <v>586</v>
      </c>
      <c r="H1" s="1" t="s">
        <v>587</v>
      </c>
      <c r="I1" s="1" t="s">
        <v>34</v>
      </c>
      <c r="J1" s="1" t="s">
        <v>588</v>
      </c>
    </row>
    <row r="2" spans="1:10" ht="15" customHeight="1" x14ac:dyDescent="0.25">
      <c r="A2" t="s">
        <v>120</v>
      </c>
      <c r="B2" t="s">
        <v>589</v>
      </c>
      <c r="C2" t="s">
        <v>590</v>
      </c>
      <c r="D2" t="s">
        <v>591</v>
      </c>
      <c r="E2" t="s">
        <v>592</v>
      </c>
      <c r="F2" t="s">
        <v>593</v>
      </c>
      <c r="G2" t="s">
        <v>594</v>
      </c>
      <c r="I2" t="s">
        <v>595</v>
      </c>
      <c r="J2" t="s">
        <v>596</v>
      </c>
    </row>
    <row r="3" spans="1:10" ht="15" customHeight="1" x14ac:dyDescent="0.25">
      <c r="A3" t="s">
        <v>307</v>
      </c>
      <c r="B3" t="s">
        <v>597</v>
      </c>
      <c r="C3" t="s">
        <v>590</v>
      </c>
      <c r="D3" t="s">
        <v>591</v>
      </c>
      <c r="E3" t="s">
        <v>598</v>
      </c>
      <c r="F3" t="s">
        <v>593</v>
      </c>
      <c r="G3" t="s">
        <v>594</v>
      </c>
      <c r="I3" t="s">
        <v>595</v>
      </c>
      <c r="J3" t="s">
        <v>599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2" width="15" customWidth="1"/>
    <col min="3" max="3" width="16" customWidth="1"/>
    <col min="4" max="4" width="17" customWidth="1"/>
    <col min="5" max="5" width="19" customWidth="1"/>
    <col min="6" max="6" width="17" customWidth="1"/>
    <col min="7" max="7" width="28" customWidth="1"/>
    <col min="8" max="8" width="30" customWidth="1"/>
    <col min="9" max="10" width="15" customWidth="1"/>
  </cols>
  <sheetData>
    <row r="1" spans="1:10" ht="15" customHeight="1" x14ac:dyDescent="0.25">
      <c r="A1" s="1" t="s">
        <v>1</v>
      </c>
      <c r="B1" s="1" t="s">
        <v>520</v>
      </c>
      <c r="C1" s="1" t="s">
        <v>7</v>
      </c>
      <c r="D1" s="1" t="s">
        <v>8</v>
      </c>
      <c r="E1" s="1" t="s">
        <v>9</v>
      </c>
      <c r="F1" s="1" t="s">
        <v>600</v>
      </c>
      <c r="G1" s="1" t="s">
        <v>601</v>
      </c>
      <c r="H1" s="1" t="s">
        <v>602</v>
      </c>
      <c r="I1" s="1" t="s">
        <v>603</v>
      </c>
      <c r="J1" s="1" t="s">
        <v>588</v>
      </c>
    </row>
    <row r="2" spans="1:10" ht="15" customHeight="1" x14ac:dyDescent="0.25">
      <c r="A2" t="s">
        <v>120</v>
      </c>
      <c r="B2" t="s">
        <v>604</v>
      </c>
      <c r="C2" t="s">
        <v>63</v>
      </c>
      <c r="D2">
        <v>92</v>
      </c>
      <c r="E2">
        <v>68</v>
      </c>
      <c r="F2" t="s">
        <v>605</v>
      </c>
      <c r="G2" t="s">
        <v>606</v>
      </c>
      <c r="H2" t="s">
        <v>607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8"/>
  <sheetViews>
    <sheetView zoomScaleNormal="100" workbookViewId="0">
      <pane ySplit="1" topLeftCell="A2" activePane="bottomLeft" state="frozen"/>
      <selection pane="bottomLeft"/>
    </sheetView>
  </sheetViews>
  <sheetFormatPr defaultColWidth="8.7109375" defaultRowHeight="15" x14ac:dyDescent="0.25"/>
  <cols>
    <col min="1" max="5" width="15" customWidth="1"/>
  </cols>
  <sheetData>
    <row r="1" spans="1:5" ht="15" customHeight="1" x14ac:dyDescent="0.25">
      <c r="A1" s="1" t="s">
        <v>499</v>
      </c>
      <c r="B1" s="1" t="s">
        <v>500</v>
      </c>
      <c r="C1" s="1" t="s">
        <v>608</v>
      </c>
      <c r="D1" s="1" t="s">
        <v>609</v>
      </c>
      <c r="E1" s="1" t="s">
        <v>588</v>
      </c>
    </row>
    <row r="2" spans="1:5" ht="15" customHeight="1" x14ac:dyDescent="0.25">
      <c r="A2" t="s">
        <v>610</v>
      </c>
      <c r="C2" t="s">
        <v>611</v>
      </c>
    </row>
    <row r="3" spans="1:5" ht="15" customHeight="1" x14ac:dyDescent="0.25">
      <c r="A3" t="s">
        <v>612</v>
      </c>
    </row>
    <row r="4" spans="1:5" ht="15" customHeight="1" x14ac:dyDescent="0.25">
      <c r="A4" t="s">
        <v>613</v>
      </c>
    </row>
    <row r="5" spans="1:5" ht="15" customHeight="1" x14ac:dyDescent="0.25">
      <c r="A5" t="s">
        <v>614</v>
      </c>
    </row>
    <row r="6" spans="1:5" ht="15" customHeight="1" x14ac:dyDescent="0.25">
      <c r="A6" t="s">
        <v>615</v>
      </c>
      <c r="C6" t="s">
        <v>611</v>
      </c>
    </row>
    <row r="7" spans="1:5" ht="15" customHeight="1" x14ac:dyDescent="0.25">
      <c r="A7" t="s">
        <v>616</v>
      </c>
    </row>
    <row r="8" spans="1:5" ht="15" customHeight="1" x14ac:dyDescent="0.25">
      <c r="A8" t="s">
        <v>617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6"/>
  <sheetViews>
    <sheetView zoomScaleNormal="100" workbookViewId="0">
      <selection activeCell="D4" sqref="D4"/>
    </sheetView>
  </sheetViews>
  <sheetFormatPr defaultColWidth="8.7109375" defaultRowHeight="15" x14ac:dyDescent="0.25"/>
  <cols>
    <col min="1" max="1" width="6" customWidth="1"/>
    <col min="2" max="2" width="32" customWidth="1"/>
    <col min="3" max="3" width="29.140625" customWidth="1"/>
    <col min="4" max="4" width="127" customWidth="1"/>
    <col min="5" max="5" width="16" customWidth="1"/>
    <col min="6" max="6" width="12" customWidth="1"/>
    <col min="7" max="7" width="55" customWidth="1"/>
  </cols>
  <sheetData>
    <row r="1" spans="1:7" ht="15" customHeight="1" x14ac:dyDescent="0.25">
      <c r="A1" s="16" t="s">
        <v>618</v>
      </c>
      <c r="B1" s="16" t="s">
        <v>1</v>
      </c>
      <c r="C1" s="16" t="s">
        <v>619</v>
      </c>
      <c r="D1" s="16" t="s">
        <v>35</v>
      </c>
      <c r="E1" s="16" t="s">
        <v>620</v>
      </c>
      <c r="F1" s="16" t="s">
        <v>34</v>
      </c>
      <c r="G1" s="16" t="s">
        <v>532</v>
      </c>
    </row>
    <row r="2" spans="1:7" ht="15" customHeight="1" x14ac:dyDescent="0.25">
      <c r="A2">
        <v>1</v>
      </c>
      <c r="B2" t="s">
        <v>383</v>
      </c>
      <c r="C2" t="s">
        <v>621</v>
      </c>
      <c r="D2" t="s">
        <v>622</v>
      </c>
      <c r="E2" t="s">
        <v>623</v>
      </c>
      <c r="F2" t="s">
        <v>124</v>
      </c>
      <c r="G2" t="s">
        <v>624</v>
      </c>
    </row>
    <row r="3" spans="1:7" ht="15" customHeight="1" x14ac:dyDescent="0.25">
      <c r="A3">
        <v>2</v>
      </c>
      <c r="B3" t="s">
        <v>361</v>
      </c>
      <c r="C3" t="s">
        <v>621</v>
      </c>
      <c r="D3" t="s">
        <v>625</v>
      </c>
      <c r="E3" t="s">
        <v>623</v>
      </c>
      <c r="F3" t="s">
        <v>124</v>
      </c>
      <c r="G3" t="s">
        <v>626</v>
      </c>
    </row>
    <row r="4" spans="1:7" ht="15" customHeight="1" x14ac:dyDescent="0.25">
      <c r="A4">
        <v>3</v>
      </c>
      <c r="B4" t="s">
        <v>453</v>
      </c>
      <c r="C4" t="s">
        <v>627</v>
      </c>
      <c r="D4" t="s">
        <v>628</v>
      </c>
      <c r="E4" t="s">
        <v>459</v>
      </c>
      <c r="F4" t="s">
        <v>629</v>
      </c>
      <c r="G4" t="s">
        <v>630</v>
      </c>
    </row>
    <row r="5" spans="1:7" ht="15" customHeight="1" x14ac:dyDescent="0.25">
      <c r="A5">
        <v>4</v>
      </c>
      <c r="B5" t="s">
        <v>372</v>
      </c>
      <c r="C5" t="s">
        <v>631</v>
      </c>
      <c r="D5" t="s">
        <v>632</v>
      </c>
      <c r="E5" t="s">
        <v>510</v>
      </c>
      <c r="F5" t="s">
        <v>124</v>
      </c>
      <c r="G5" t="s">
        <v>633</v>
      </c>
    </row>
    <row r="6" spans="1:7" ht="15" customHeight="1" x14ac:dyDescent="0.25">
      <c r="A6">
        <v>5</v>
      </c>
      <c r="B6" t="s">
        <v>169</v>
      </c>
      <c r="C6" t="s">
        <v>627</v>
      </c>
      <c r="D6" t="s">
        <v>634</v>
      </c>
      <c r="E6" t="s">
        <v>635</v>
      </c>
      <c r="F6" t="s">
        <v>629</v>
      </c>
      <c r="G6" t="s">
        <v>636</v>
      </c>
    </row>
    <row r="7" spans="1:7" ht="15" customHeight="1" x14ac:dyDescent="0.25">
      <c r="A7">
        <v>6</v>
      </c>
      <c r="B7" t="s">
        <v>243</v>
      </c>
      <c r="C7" t="s">
        <v>637</v>
      </c>
      <c r="D7" t="s">
        <v>638</v>
      </c>
      <c r="E7" t="s">
        <v>510</v>
      </c>
      <c r="F7" t="s">
        <v>639</v>
      </c>
      <c r="G7" t="s">
        <v>640</v>
      </c>
    </row>
    <row r="8" spans="1:7" ht="15" customHeight="1" x14ac:dyDescent="0.25">
      <c r="A8">
        <v>7</v>
      </c>
      <c r="B8" t="s">
        <v>444</v>
      </c>
      <c r="C8" t="s">
        <v>641</v>
      </c>
      <c r="D8" t="s">
        <v>642</v>
      </c>
      <c r="E8" t="s">
        <v>510</v>
      </c>
      <c r="F8" t="s">
        <v>643</v>
      </c>
      <c r="G8" t="s">
        <v>644</v>
      </c>
    </row>
    <row r="9" spans="1:7" ht="15" customHeight="1" x14ac:dyDescent="0.25">
      <c r="A9">
        <v>8</v>
      </c>
      <c r="B9" t="s">
        <v>433</v>
      </c>
      <c r="C9" t="s">
        <v>621</v>
      </c>
      <c r="D9" t="s">
        <v>645</v>
      </c>
      <c r="E9" t="s">
        <v>623</v>
      </c>
      <c r="F9" t="s">
        <v>124</v>
      </c>
      <c r="G9" t="s">
        <v>646</v>
      </c>
    </row>
    <row r="10" spans="1:7" ht="15" customHeight="1" x14ac:dyDescent="0.25">
      <c r="A10">
        <v>9</v>
      </c>
      <c r="B10" t="s">
        <v>213</v>
      </c>
      <c r="C10" t="s">
        <v>627</v>
      </c>
      <c r="D10" t="s">
        <v>647</v>
      </c>
      <c r="E10" t="s">
        <v>635</v>
      </c>
      <c r="F10" t="s">
        <v>629</v>
      </c>
      <c r="G10" t="s">
        <v>648</v>
      </c>
    </row>
    <row r="11" spans="1:7" ht="15" customHeight="1" x14ac:dyDescent="0.25">
      <c r="A11">
        <v>10</v>
      </c>
      <c r="B11" t="s">
        <v>183</v>
      </c>
      <c r="C11" t="s">
        <v>621</v>
      </c>
      <c r="D11" t="s">
        <v>649</v>
      </c>
      <c r="E11" t="s">
        <v>510</v>
      </c>
      <c r="F11" t="s">
        <v>643</v>
      </c>
      <c r="G11" t="s">
        <v>650</v>
      </c>
    </row>
    <row r="12" spans="1:7" ht="15" customHeight="1" x14ac:dyDescent="0.25">
      <c r="A12">
        <v>11</v>
      </c>
      <c r="B12" t="s">
        <v>307</v>
      </c>
      <c r="C12" t="s">
        <v>651</v>
      </c>
      <c r="D12" t="s">
        <v>652</v>
      </c>
      <c r="E12" t="s">
        <v>635</v>
      </c>
      <c r="F12" t="s">
        <v>629</v>
      </c>
      <c r="G12" t="s">
        <v>653</v>
      </c>
    </row>
    <row r="13" spans="1:7" ht="15" customHeight="1" x14ac:dyDescent="0.25">
      <c r="A13">
        <v>12</v>
      </c>
      <c r="B13" t="s">
        <v>341</v>
      </c>
      <c r="C13" t="s">
        <v>621</v>
      </c>
      <c r="D13" t="s">
        <v>654</v>
      </c>
      <c r="E13" t="s">
        <v>623</v>
      </c>
      <c r="F13" t="s">
        <v>124</v>
      </c>
      <c r="G13" t="s">
        <v>655</v>
      </c>
    </row>
    <row r="14" spans="1:7" ht="15" customHeight="1" x14ac:dyDescent="0.25">
      <c r="A14">
        <v>13</v>
      </c>
      <c r="B14" t="s">
        <v>233</v>
      </c>
      <c r="C14" t="s">
        <v>627</v>
      </c>
      <c r="D14" t="s">
        <v>656</v>
      </c>
      <c r="E14" t="s">
        <v>635</v>
      </c>
      <c r="F14" t="s">
        <v>629</v>
      </c>
      <c r="G14" t="s">
        <v>657</v>
      </c>
    </row>
    <row r="15" spans="1:7" ht="15" customHeight="1" x14ac:dyDescent="0.25">
      <c r="A15">
        <v>14</v>
      </c>
      <c r="B15" t="s">
        <v>544</v>
      </c>
      <c r="C15" t="s">
        <v>641</v>
      </c>
      <c r="D15" t="s">
        <v>658</v>
      </c>
      <c r="E15" t="s">
        <v>623</v>
      </c>
      <c r="F15" t="s">
        <v>643</v>
      </c>
      <c r="G15" t="s">
        <v>659</v>
      </c>
    </row>
    <row r="16" spans="1:7" ht="15" customHeight="1" x14ac:dyDescent="0.25">
      <c r="A16">
        <v>15</v>
      </c>
      <c r="B16" t="s">
        <v>394</v>
      </c>
      <c r="C16" t="s">
        <v>627</v>
      </c>
      <c r="D16" t="s">
        <v>660</v>
      </c>
      <c r="E16" t="s">
        <v>459</v>
      </c>
      <c r="F16" t="s">
        <v>629</v>
      </c>
      <c r="G16" t="s">
        <v>661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7"/>
  <sheetViews>
    <sheetView zoomScaleNormal="100" workbookViewId="0"/>
  </sheetViews>
  <sheetFormatPr defaultColWidth="8.7109375" defaultRowHeight="15" x14ac:dyDescent="0.25"/>
  <sheetData>
    <row r="1" spans="1:8" ht="15" customHeight="1" x14ac:dyDescent="0.25">
      <c r="A1" t="s">
        <v>1</v>
      </c>
      <c r="B1" t="s">
        <v>2</v>
      </c>
      <c r="C1" t="s">
        <v>662</v>
      </c>
      <c r="D1" t="s">
        <v>663</v>
      </c>
      <c r="E1" t="s">
        <v>664</v>
      </c>
      <c r="F1" t="s">
        <v>665</v>
      </c>
      <c r="G1" t="s">
        <v>666</v>
      </c>
      <c r="H1" t="s">
        <v>518</v>
      </c>
    </row>
    <row r="2" spans="1:8" ht="15" customHeight="1" x14ac:dyDescent="0.25">
      <c r="A2" t="s">
        <v>58</v>
      </c>
      <c r="B2" t="s">
        <v>59</v>
      </c>
      <c r="C2">
        <v>95</v>
      </c>
      <c r="D2">
        <v>90</v>
      </c>
      <c r="E2">
        <v>95</v>
      </c>
      <c r="F2">
        <v>80</v>
      </c>
      <c r="G2">
        <v>80</v>
      </c>
      <c r="H2" t="s">
        <v>667</v>
      </c>
    </row>
    <row r="3" spans="1:8" ht="15" customHeight="1" x14ac:dyDescent="0.25">
      <c r="A3" t="s">
        <v>82</v>
      </c>
      <c r="B3" t="s">
        <v>83</v>
      </c>
      <c r="C3">
        <v>95</v>
      </c>
      <c r="D3">
        <v>95</v>
      </c>
      <c r="E3">
        <v>95</v>
      </c>
      <c r="F3">
        <v>32</v>
      </c>
      <c r="G3">
        <v>90</v>
      </c>
    </row>
    <row r="4" spans="1:8" ht="15" customHeight="1" x14ac:dyDescent="0.25">
      <c r="A4" t="s">
        <v>94</v>
      </c>
      <c r="B4" t="s">
        <v>95</v>
      </c>
      <c r="C4">
        <v>85</v>
      </c>
      <c r="D4">
        <v>80</v>
      </c>
      <c r="E4">
        <v>70</v>
      </c>
      <c r="F4">
        <v>100</v>
      </c>
      <c r="G4">
        <v>70</v>
      </c>
    </row>
    <row r="5" spans="1:8" ht="15" customHeight="1" x14ac:dyDescent="0.25">
      <c r="A5" t="s">
        <v>107</v>
      </c>
      <c r="B5" t="s">
        <v>108</v>
      </c>
      <c r="C5">
        <v>75</v>
      </c>
      <c r="D5">
        <v>80</v>
      </c>
      <c r="E5">
        <v>75</v>
      </c>
      <c r="F5">
        <v>64</v>
      </c>
      <c r="G5">
        <v>85</v>
      </c>
    </row>
    <row r="6" spans="1:8" ht="15" customHeight="1" x14ac:dyDescent="0.25">
      <c r="A6" t="s">
        <v>120</v>
      </c>
      <c r="B6" t="s">
        <v>121</v>
      </c>
      <c r="C6">
        <v>85</v>
      </c>
      <c r="D6">
        <v>80</v>
      </c>
      <c r="E6">
        <v>75</v>
      </c>
      <c r="F6">
        <v>100</v>
      </c>
      <c r="G6">
        <v>65</v>
      </c>
    </row>
    <row r="7" spans="1:8" ht="15" customHeight="1" x14ac:dyDescent="0.25">
      <c r="A7" t="s">
        <v>134</v>
      </c>
      <c r="B7" t="s">
        <v>135</v>
      </c>
      <c r="C7">
        <v>70</v>
      </c>
      <c r="D7">
        <v>70</v>
      </c>
      <c r="E7">
        <v>55</v>
      </c>
      <c r="F7">
        <v>44</v>
      </c>
      <c r="G7">
        <v>60</v>
      </c>
    </row>
    <row r="8" spans="1:8" ht="15" customHeight="1" x14ac:dyDescent="0.25">
      <c r="A8" t="s">
        <v>149</v>
      </c>
      <c r="B8" t="s">
        <v>150</v>
      </c>
      <c r="C8">
        <v>85</v>
      </c>
      <c r="D8">
        <v>85</v>
      </c>
      <c r="E8">
        <v>75</v>
      </c>
      <c r="F8">
        <v>100</v>
      </c>
      <c r="G8">
        <v>75</v>
      </c>
    </row>
    <row r="9" spans="1:8" ht="15" customHeight="1" x14ac:dyDescent="0.25">
      <c r="A9" t="s">
        <v>159</v>
      </c>
      <c r="B9" t="s">
        <v>160</v>
      </c>
      <c r="C9">
        <v>40</v>
      </c>
      <c r="D9">
        <v>55</v>
      </c>
      <c r="E9">
        <v>60</v>
      </c>
      <c r="F9">
        <v>30</v>
      </c>
      <c r="G9">
        <v>40</v>
      </c>
    </row>
    <row r="10" spans="1:8" ht="15" customHeight="1" x14ac:dyDescent="0.25">
      <c r="A10" t="s">
        <v>169</v>
      </c>
      <c r="B10" t="s">
        <v>170</v>
      </c>
      <c r="C10">
        <v>55</v>
      </c>
      <c r="D10">
        <v>70</v>
      </c>
      <c r="E10">
        <v>60</v>
      </c>
      <c r="F10">
        <v>100</v>
      </c>
      <c r="G10">
        <v>55</v>
      </c>
    </row>
    <row r="11" spans="1:8" ht="15" customHeight="1" x14ac:dyDescent="0.25">
      <c r="A11" t="s">
        <v>183</v>
      </c>
      <c r="B11" t="s">
        <v>184</v>
      </c>
      <c r="C11">
        <v>65</v>
      </c>
      <c r="D11">
        <v>65</v>
      </c>
      <c r="E11">
        <v>65</v>
      </c>
      <c r="F11">
        <v>100</v>
      </c>
      <c r="G11">
        <v>55</v>
      </c>
    </row>
    <row r="12" spans="1:8" ht="15" customHeight="1" x14ac:dyDescent="0.25">
      <c r="A12" t="s">
        <v>192</v>
      </c>
      <c r="B12" t="s">
        <v>193</v>
      </c>
      <c r="C12">
        <v>65</v>
      </c>
      <c r="D12">
        <v>60</v>
      </c>
      <c r="E12">
        <v>55</v>
      </c>
      <c r="F12">
        <v>70</v>
      </c>
      <c r="G12">
        <v>60</v>
      </c>
    </row>
    <row r="13" spans="1:8" ht="15" customHeight="1" x14ac:dyDescent="0.25">
      <c r="A13" t="s">
        <v>200</v>
      </c>
      <c r="B13" t="s">
        <v>201</v>
      </c>
      <c r="C13">
        <v>70</v>
      </c>
      <c r="D13">
        <v>65</v>
      </c>
      <c r="E13">
        <v>70</v>
      </c>
      <c r="F13">
        <v>52</v>
      </c>
      <c r="G13">
        <v>65</v>
      </c>
    </row>
    <row r="14" spans="1:8" ht="15" customHeight="1" x14ac:dyDescent="0.25">
      <c r="A14" t="s">
        <v>213</v>
      </c>
      <c r="B14" t="s">
        <v>214</v>
      </c>
      <c r="C14">
        <v>55</v>
      </c>
      <c r="D14">
        <v>60</v>
      </c>
      <c r="E14">
        <v>85</v>
      </c>
      <c r="F14">
        <v>60</v>
      </c>
      <c r="G14">
        <v>55</v>
      </c>
    </row>
    <row r="15" spans="1:8" ht="15" customHeight="1" x14ac:dyDescent="0.25">
      <c r="A15" t="s">
        <v>224</v>
      </c>
      <c r="B15" t="s">
        <v>225</v>
      </c>
      <c r="C15">
        <v>65</v>
      </c>
      <c r="D15">
        <v>60</v>
      </c>
      <c r="E15">
        <v>55</v>
      </c>
      <c r="F15">
        <v>32</v>
      </c>
      <c r="G15">
        <v>70</v>
      </c>
    </row>
    <row r="16" spans="1:8" ht="15" customHeight="1" x14ac:dyDescent="0.25">
      <c r="A16" t="s">
        <v>233</v>
      </c>
      <c r="B16" t="s">
        <v>234</v>
      </c>
      <c r="C16">
        <v>60</v>
      </c>
      <c r="D16">
        <v>80</v>
      </c>
      <c r="E16">
        <v>80</v>
      </c>
      <c r="F16">
        <v>48</v>
      </c>
      <c r="G16">
        <v>55</v>
      </c>
    </row>
    <row r="17" spans="1:7" ht="15" customHeight="1" x14ac:dyDescent="0.25">
      <c r="A17" t="s">
        <v>243</v>
      </c>
      <c r="B17" t="s">
        <v>244</v>
      </c>
      <c r="C17">
        <v>35</v>
      </c>
      <c r="D17">
        <v>55</v>
      </c>
      <c r="E17">
        <v>45</v>
      </c>
      <c r="F17">
        <v>100</v>
      </c>
      <c r="G17">
        <v>45</v>
      </c>
    </row>
    <row r="18" spans="1:7" ht="15" customHeight="1" x14ac:dyDescent="0.25">
      <c r="A18" t="s">
        <v>253</v>
      </c>
      <c r="B18" t="s">
        <v>254</v>
      </c>
      <c r="C18">
        <v>80</v>
      </c>
      <c r="D18">
        <v>75</v>
      </c>
      <c r="E18">
        <v>70</v>
      </c>
      <c r="F18">
        <v>100</v>
      </c>
      <c r="G18">
        <v>65</v>
      </c>
    </row>
    <row r="19" spans="1:7" ht="15" customHeight="1" x14ac:dyDescent="0.25">
      <c r="A19" t="s">
        <v>262</v>
      </c>
      <c r="B19" t="s">
        <v>263</v>
      </c>
      <c r="C19">
        <v>20</v>
      </c>
      <c r="D19">
        <v>40</v>
      </c>
      <c r="E19">
        <v>45</v>
      </c>
      <c r="F19">
        <v>0</v>
      </c>
      <c r="G19">
        <v>20</v>
      </c>
    </row>
    <row r="20" spans="1:7" ht="15" customHeight="1" x14ac:dyDescent="0.25">
      <c r="A20" t="s">
        <v>275</v>
      </c>
      <c r="B20" t="s">
        <v>276</v>
      </c>
      <c r="C20">
        <v>35</v>
      </c>
      <c r="D20">
        <v>55</v>
      </c>
      <c r="E20">
        <v>50</v>
      </c>
      <c r="F20">
        <v>100</v>
      </c>
      <c r="G20">
        <v>35</v>
      </c>
    </row>
    <row r="21" spans="1:7" ht="15" customHeight="1" x14ac:dyDescent="0.25">
      <c r="A21" t="s">
        <v>286</v>
      </c>
      <c r="B21" t="s">
        <v>287</v>
      </c>
      <c r="C21">
        <v>30</v>
      </c>
      <c r="D21">
        <v>50</v>
      </c>
      <c r="E21">
        <v>40</v>
      </c>
      <c r="F21">
        <v>8</v>
      </c>
      <c r="G21">
        <v>45</v>
      </c>
    </row>
    <row r="22" spans="1:7" ht="15" customHeight="1" x14ac:dyDescent="0.25">
      <c r="A22" t="s">
        <v>297</v>
      </c>
      <c r="B22" t="s">
        <v>298</v>
      </c>
      <c r="C22">
        <v>35</v>
      </c>
      <c r="D22">
        <v>45</v>
      </c>
      <c r="E22">
        <v>55</v>
      </c>
      <c r="F22">
        <v>0</v>
      </c>
      <c r="G22">
        <v>25</v>
      </c>
    </row>
    <row r="23" spans="1:7" ht="15" customHeight="1" x14ac:dyDescent="0.25">
      <c r="A23" t="s">
        <v>307</v>
      </c>
      <c r="B23" t="s">
        <v>308</v>
      </c>
      <c r="C23">
        <v>65</v>
      </c>
      <c r="D23">
        <v>60</v>
      </c>
      <c r="E23">
        <v>60</v>
      </c>
      <c r="F23">
        <v>60</v>
      </c>
      <c r="G23">
        <v>55</v>
      </c>
    </row>
    <row r="24" spans="1:7" ht="15" customHeight="1" x14ac:dyDescent="0.25">
      <c r="A24" t="s">
        <v>320</v>
      </c>
      <c r="B24" t="s">
        <v>321</v>
      </c>
      <c r="C24">
        <v>85</v>
      </c>
      <c r="D24">
        <v>85</v>
      </c>
      <c r="E24">
        <v>90</v>
      </c>
      <c r="F24">
        <v>20</v>
      </c>
      <c r="G24">
        <v>85</v>
      </c>
    </row>
    <row r="25" spans="1:7" ht="15" customHeight="1" x14ac:dyDescent="0.25">
      <c r="A25" t="s">
        <v>331</v>
      </c>
      <c r="B25" t="s">
        <v>332</v>
      </c>
      <c r="C25">
        <v>85</v>
      </c>
      <c r="D25">
        <v>80</v>
      </c>
      <c r="E25">
        <v>85</v>
      </c>
      <c r="F25">
        <v>72</v>
      </c>
      <c r="G25">
        <v>80</v>
      </c>
    </row>
    <row r="26" spans="1:7" ht="15" customHeight="1" x14ac:dyDescent="0.25">
      <c r="A26" t="s">
        <v>341</v>
      </c>
      <c r="B26" t="s">
        <v>342</v>
      </c>
      <c r="C26">
        <v>55</v>
      </c>
      <c r="D26">
        <v>60</v>
      </c>
      <c r="E26">
        <v>55</v>
      </c>
      <c r="F26">
        <v>100</v>
      </c>
      <c r="G26">
        <v>45</v>
      </c>
    </row>
    <row r="27" spans="1:7" ht="15" customHeight="1" x14ac:dyDescent="0.25">
      <c r="A27" t="s">
        <v>351</v>
      </c>
      <c r="B27" t="s">
        <v>352</v>
      </c>
      <c r="C27">
        <v>50</v>
      </c>
      <c r="D27">
        <v>50</v>
      </c>
      <c r="E27">
        <v>50</v>
      </c>
      <c r="F27">
        <v>0</v>
      </c>
      <c r="G27">
        <v>50</v>
      </c>
    </row>
    <row r="28" spans="1:7" ht="15" customHeight="1" x14ac:dyDescent="0.25">
      <c r="A28" t="s">
        <v>361</v>
      </c>
      <c r="B28" t="s">
        <v>362</v>
      </c>
      <c r="C28">
        <v>75</v>
      </c>
      <c r="D28">
        <v>75</v>
      </c>
      <c r="E28">
        <v>60</v>
      </c>
      <c r="F28">
        <v>100</v>
      </c>
      <c r="G28">
        <v>65</v>
      </c>
    </row>
    <row r="29" spans="1:7" ht="15" customHeight="1" x14ac:dyDescent="0.25">
      <c r="A29" t="s">
        <v>372</v>
      </c>
      <c r="B29" t="s">
        <v>373</v>
      </c>
      <c r="C29">
        <v>50</v>
      </c>
      <c r="D29">
        <v>60</v>
      </c>
      <c r="E29">
        <v>55</v>
      </c>
      <c r="F29">
        <v>100</v>
      </c>
      <c r="G29">
        <v>40</v>
      </c>
    </row>
    <row r="30" spans="1:7" ht="15" customHeight="1" x14ac:dyDescent="0.25">
      <c r="A30" t="s">
        <v>383</v>
      </c>
      <c r="B30" t="s">
        <v>384</v>
      </c>
      <c r="C30">
        <v>40</v>
      </c>
      <c r="D30">
        <v>55</v>
      </c>
      <c r="E30">
        <v>70</v>
      </c>
      <c r="F30">
        <v>0</v>
      </c>
      <c r="G30">
        <v>45</v>
      </c>
    </row>
    <row r="31" spans="1:7" ht="15" customHeight="1" x14ac:dyDescent="0.25">
      <c r="A31" t="s">
        <v>394</v>
      </c>
      <c r="B31" t="s">
        <v>395</v>
      </c>
      <c r="C31">
        <v>30</v>
      </c>
      <c r="D31">
        <v>30</v>
      </c>
      <c r="E31">
        <v>45</v>
      </c>
      <c r="F31">
        <v>100</v>
      </c>
      <c r="G31">
        <v>15</v>
      </c>
    </row>
    <row r="32" spans="1:7" ht="15" customHeight="1" x14ac:dyDescent="0.25">
      <c r="A32" t="s">
        <v>406</v>
      </c>
      <c r="B32" t="s">
        <v>407</v>
      </c>
      <c r="C32">
        <v>70</v>
      </c>
      <c r="D32">
        <v>60</v>
      </c>
      <c r="E32">
        <v>50</v>
      </c>
      <c r="F32">
        <v>100</v>
      </c>
      <c r="G32">
        <v>50</v>
      </c>
    </row>
    <row r="33" spans="1:7" ht="15" customHeight="1" x14ac:dyDescent="0.25">
      <c r="A33" t="s">
        <v>418</v>
      </c>
      <c r="B33" t="s">
        <v>419</v>
      </c>
      <c r="C33">
        <v>75</v>
      </c>
      <c r="D33">
        <v>55</v>
      </c>
      <c r="E33">
        <v>55</v>
      </c>
      <c r="F33">
        <v>100</v>
      </c>
      <c r="G33">
        <v>70</v>
      </c>
    </row>
    <row r="34" spans="1:7" ht="15" customHeight="1" x14ac:dyDescent="0.25">
      <c r="A34" t="s">
        <v>426</v>
      </c>
      <c r="B34" t="s">
        <v>427</v>
      </c>
      <c r="C34">
        <v>60</v>
      </c>
      <c r="D34">
        <v>55</v>
      </c>
      <c r="E34">
        <v>45</v>
      </c>
      <c r="F34">
        <v>100</v>
      </c>
      <c r="G34">
        <v>50</v>
      </c>
    </row>
    <row r="35" spans="1:7" ht="15" customHeight="1" x14ac:dyDescent="0.25">
      <c r="A35" t="s">
        <v>433</v>
      </c>
      <c r="B35" t="s">
        <v>434</v>
      </c>
      <c r="C35">
        <v>75</v>
      </c>
      <c r="D35">
        <v>65</v>
      </c>
      <c r="E35">
        <v>65</v>
      </c>
      <c r="F35">
        <v>100</v>
      </c>
      <c r="G35">
        <v>60</v>
      </c>
    </row>
    <row r="36" spans="1:7" ht="15" customHeight="1" x14ac:dyDescent="0.25">
      <c r="A36" t="s">
        <v>444</v>
      </c>
      <c r="B36" t="s">
        <v>445</v>
      </c>
      <c r="C36">
        <v>75</v>
      </c>
      <c r="D36">
        <v>65</v>
      </c>
      <c r="E36">
        <v>60</v>
      </c>
      <c r="F36">
        <v>98</v>
      </c>
      <c r="G36">
        <v>65</v>
      </c>
    </row>
    <row r="37" spans="1:7" ht="15" customHeight="1" x14ac:dyDescent="0.25">
      <c r="A37" t="s">
        <v>453</v>
      </c>
      <c r="B37" t="s">
        <v>454</v>
      </c>
      <c r="C37">
        <v>60</v>
      </c>
      <c r="D37">
        <v>55</v>
      </c>
      <c r="E37">
        <v>55</v>
      </c>
      <c r="F37">
        <v>100</v>
      </c>
      <c r="G37">
        <v>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50"/>
  <sheetViews>
    <sheetView zoomScaleNormal="100" workbookViewId="0"/>
  </sheetViews>
  <sheetFormatPr defaultColWidth="8.7109375" defaultRowHeight="15" x14ac:dyDescent="0.25"/>
  <cols>
    <col min="1" max="1" width="32" customWidth="1"/>
    <col min="2" max="2" width="12" customWidth="1"/>
    <col min="3" max="10" width="45" customWidth="1"/>
  </cols>
  <sheetData>
    <row r="1" spans="1:10" ht="15" customHeight="1" x14ac:dyDescent="0.25">
      <c r="A1" t="s">
        <v>1</v>
      </c>
      <c r="B1" t="s">
        <v>2</v>
      </c>
      <c r="C1" t="s">
        <v>14</v>
      </c>
      <c r="D1" t="s">
        <v>25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</row>
    <row r="2" spans="1:10" ht="15" customHeight="1" x14ac:dyDescent="0.25">
      <c r="A2" t="s">
        <v>58</v>
      </c>
      <c r="B2" t="s">
        <v>59</v>
      </c>
      <c r="C2" t="s">
        <v>66</v>
      </c>
      <c r="D2" t="s">
        <v>67</v>
      </c>
      <c r="E2" t="s">
        <v>72</v>
      </c>
      <c r="F2" t="s">
        <v>73</v>
      </c>
      <c r="G2" t="s">
        <v>74</v>
      </c>
      <c r="H2" t="s">
        <v>75</v>
      </c>
      <c r="I2" t="s">
        <v>76</v>
      </c>
      <c r="J2" t="s">
        <v>77</v>
      </c>
    </row>
    <row r="3" spans="1:10" ht="15" customHeight="1" x14ac:dyDescent="0.25">
      <c r="A3" t="s">
        <v>82</v>
      </c>
      <c r="B3" t="s">
        <v>83</v>
      </c>
      <c r="C3" t="s">
        <v>85</v>
      </c>
      <c r="D3" t="s">
        <v>67</v>
      </c>
      <c r="E3" t="s">
        <v>72</v>
      </c>
      <c r="F3" t="s">
        <v>87</v>
      </c>
      <c r="G3" t="s">
        <v>88</v>
      </c>
      <c r="H3" t="s">
        <v>89</v>
      </c>
      <c r="I3" t="s">
        <v>90</v>
      </c>
      <c r="J3" t="s">
        <v>91</v>
      </c>
    </row>
    <row r="4" spans="1:10" ht="15" customHeight="1" x14ac:dyDescent="0.25">
      <c r="A4" t="s">
        <v>94</v>
      </c>
      <c r="B4" t="s">
        <v>95</v>
      </c>
      <c r="C4" t="s">
        <v>99</v>
      </c>
      <c r="D4" t="s">
        <v>67</v>
      </c>
      <c r="E4" t="s">
        <v>72</v>
      </c>
      <c r="F4" t="s">
        <v>102</v>
      </c>
      <c r="G4" t="s">
        <v>103</v>
      </c>
      <c r="H4" t="s">
        <v>104</v>
      </c>
      <c r="I4" t="s">
        <v>105</v>
      </c>
      <c r="J4" t="s">
        <v>106</v>
      </c>
    </row>
    <row r="5" spans="1:10" ht="15" customHeight="1" x14ac:dyDescent="0.25">
      <c r="A5" t="s">
        <v>107</v>
      </c>
      <c r="B5" t="s">
        <v>108</v>
      </c>
      <c r="C5" t="s">
        <v>112</v>
      </c>
      <c r="D5" t="s">
        <v>67</v>
      </c>
      <c r="E5" t="s">
        <v>72</v>
      </c>
      <c r="F5" t="s">
        <v>114</v>
      </c>
      <c r="G5" t="s">
        <v>115</v>
      </c>
      <c r="H5" t="s">
        <v>116</v>
      </c>
      <c r="I5" t="s">
        <v>117</v>
      </c>
      <c r="J5" t="s">
        <v>118</v>
      </c>
    </row>
    <row r="6" spans="1:10" ht="15" customHeight="1" x14ac:dyDescent="0.25">
      <c r="A6" t="s">
        <v>120</v>
      </c>
      <c r="B6" t="s">
        <v>121</v>
      </c>
      <c r="C6" t="s">
        <v>125</v>
      </c>
      <c r="D6" t="s">
        <v>126</v>
      </c>
      <c r="E6" t="s">
        <v>72</v>
      </c>
      <c r="F6" t="s">
        <v>129</v>
      </c>
      <c r="G6" t="s">
        <v>130</v>
      </c>
      <c r="H6" t="s">
        <v>131</v>
      </c>
      <c r="I6" t="s">
        <v>132</v>
      </c>
      <c r="J6" t="s">
        <v>133</v>
      </c>
    </row>
    <row r="7" spans="1:10" ht="15" customHeight="1" x14ac:dyDescent="0.25">
      <c r="A7" t="s">
        <v>134</v>
      </c>
      <c r="B7" t="s">
        <v>135</v>
      </c>
      <c r="C7" t="s">
        <v>139</v>
      </c>
      <c r="D7" t="s">
        <v>140</v>
      </c>
      <c r="E7" t="s">
        <v>72</v>
      </c>
      <c r="F7" t="s">
        <v>143</v>
      </c>
      <c r="G7" t="s">
        <v>144</v>
      </c>
      <c r="H7" t="s">
        <v>145</v>
      </c>
      <c r="I7" t="s">
        <v>146</v>
      </c>
      <c r="J7" t="s">
        <v>147</v>
      </c>
    </row>
    <row r="8" spans="1:10" ht="15" customHeight="1" x14ac:dyDescent="0.25">
      <c r="A8" t="s">
        <v>149</v>
      </c>
      <c r="B8" t="s">
        <v>150</v>
      </c>
      <c r="C8" t="s">
        <v>153</v>
      </c>
      <c r="D8" t="s">
        <v>140</v>
      </c>
      <c r="E8" t="s">
        <v>72</v>
      </c>
      <c r="F8" t="s">
        <v>154</v>
      </c>
      <c r="G8" t="s">
        <v>155</v>
      </c>
      <c r="H8" t="s">
        <v>156</v>
      </c>
      <c r="I8" t="s">
        <v>157</v>
      </c>
      <c r="J8" t="s">
        <v>158</v>
      </c>
    </row>
    <row r="9" spans="1:10" ht="15" customHeight="1" x14ac:dyDescent="0.25">
      <c r="A9" t="s">
        <v>159</v>
      </c>
      <c r="B9" t="s">
        <v>160</v>
      </c>
      <c r="C9" t="s">
        <v>163</v>
      </c>
      <c r="D9" t="s">
        <v>140</v>
      </c>
      <c r="E9" t="s">
        <v>72</v>
      </c>
      <c r="F9" t="s">
        <v>165</v>
      </c>
      <c r="G9" t="s">
        <v>166</v>
      </c>
      <c r="H9" t="s">
        <v>167</v>
      </c>
      <c r="I9" t="s">
        <v>168</v>
      </c>
      <c r="J9" t="s">
        <v>147</v>
      </c>
    </row>
    <row r="10" spans="1:10" ht="15" customHeight="1" x14ac:dyDescent="0.25">
      <c r="A10" t="s">
        <v>169</v>
      </c>
      <c r="B10" t="s">
        <v>170</v>
      </c>
      <c r="C10" t="s">
        <v>175</v>
      </c>
      <c r="D10" t="s">
        <v>140</v>
      </c>
      <c r="E10" t="s">
        <v>72</v>
      </c>
      <c r="F10" t="s">
        <v>178</v>
      </c>
      <c r="G10" t="s">
        <v>179</v>
      </c>
      <c r="H10" t="s">
        <v>180</v>
      </c>
      <c r="I10" t="s">
        <v>181</v>
      </c>
      <c r="J10" t="s">
        <v>182</v>
      </c>
    </row>
    <row r="11" spans="1:10" ht="15" customHeight="1" x14ac:dyDescent="0.25">
      <c r="A11" t="s">
        <v>183</v>
      </c>
      <c r="B11" t="s">
        <v>184</v>
      </c>
      <c r="C11" t="s">
        <v>186</v>
      </c>
      <c r="D11" t="s">
        <v>140</v>
      </c>
      <c r="E11" t="s">
        <v>72</v>
      </c>
      <c r="F11" t="s">
        <v>187</v>
      </c>
      <c r="G11" t="s">
        <v>188</v>
      </c>
      <c r="H11" t="s">
        <v>189</v>
      </c>
      <c r="I11" t="s">
        <v>190</v>
      </c>
      <c r="J11" t="s">
        <v>191</v>
      </c>
    </row>
    <row r="12" spans="1:10" ht="15" customHeight="1" x14ac:dyDescent="0.25">
      <c r="A12" t="s">
        <v>192</v>
      </c>
      <c r="B12" t="s">
        <v>193</v>
      </c>
      <c r="C12" t="s">
        <v>195</v>
      </c>
      <c r="D12" t="s">
        <v>140</v>
      </c>
      <c r="E12" t="s">
        <v>72</v>
      </c>
      <c r="F12" t="s">
        <v>196</v>
      </c>
      <c r="G12" t="s">
        <v>197</v>
      </c>
      <c r="H12" t="s">
        <v>198</v>
      </c>
      <c r="I12" t="s">
        <v>199</v>
      </c>
      <c r="J12" t="s">
        <v>147</v>
      </c>
    </row>
    <row r="13" spans="1:10" ht="15" customHeight="1" x14ac:dyDescent="0.25">
      <c r="A13" t="s">
        <v>200</v>
      </c>
      <c r="B13" t="s">
        <v>201</v>
      </c>
      <c r="C13" t="s">
        <v>205</v>
      </c>
      <c r="D13" t="s">
        <v>140</v>
      </c>
      <c r="E13" t="s">
        <v>72</v>
      </c>
      <c r="F13" t="s">
        <v>206</v>
      </c>
      <c r="G13" t="s">
        <v>207</v>
      </c>
      <c r="H13" t="s">
        <v>208</v>
      </c>
      <c r="I13" t="s">
        <v>209</v>
      </c>
      <c r="J13" t="s">
        <v>210</v>
      </c>
    </row>
    <row r="14" spans="1:10" ht="15" customHeight="1" x14ac:dyDescent="0.25">
      <c r="A14" t="s">
        <v>213</v>
      </c>
      <c r="B14" t="s">
        <v>214</v>
      </c>
      <c r="C14" t="s">
        <v>218</v>
      </c>
      <c r="D14" t="s">
        <v>140</v>
      </c>
      <c r="E14" t="s">
        <v>72</v>
      </c>
      <c r="F14" t="s">
        <v>219</v>
      </c>
      <c r="G14" t="s">
        <v>220</v>
      </c>
      <c r="H14" t="s">
        <v>221</v>
      </c>
      <c r="I14" t="s">
        <v>222</v>
      </c>
      <c r="J14" t="s">
        <v>223</v>
      </c>
    </row>
    <row r="15" spans="1:10" ht="15" customHeight="1" x14ac:dyDescent="0.25">
      <c r="A15" t="s">
        <v>224</v>
      </c>
      <c r="B15" t="s">
        <v>225</v>
      </c>
      <c r="C15" t="s">
        <v>227</v>
      </c>
      <c r="D15" t="s">
        <v>140</v>
      </c>
      <c r="E15" t="s">
        <v>72</v>
      </c>
      <c r="F15" t="s">
        <v>228</v>
      </c>
      <c r="G15" t="s">
        <v>229</v>
      </c>
      <c r="H15" t="s">
        <v>230</v>
      </c>
      <c r="I15" t="s">
        <v>231</v>
      </c>
      <c r="J15" t="s">
        <v>232</v>
      </c>
    </row>
    <row r="16" spans="1:10" ht="15" customHeight="1" x14ac:dyDescent="0.25">
      <c r="A16" t="s">
        <v>233</v>
      </c>
      <c r="B16" t="s">
        <v>234</v>
      </c>
      <c r="C16" t="s">
        <v>237</v>
      </c>
      <c r="D16" t="s">
        <v>140</v>
      </c>
      <c r="E16" t="s">
        <v>72</v>
      </c>
      <c r="F16" t="s">
        <v>238</v>
      </c>
      <c r="G16" t="s">
        <v>239</v>
      </c>
      <c r="H16" t="s">
        <v>240</v>
      </c>
      <c r="I16" t="s">
        <v>241</v>
      </c>
      <c r="J16" t="s">
        <v>242</v>
      </c>
    </row>
    <row r="17" spans="1:10" ht="15" customHeight="1" x14ac:dyDescent="0.25">
      <c r="A17" t="s">
        <v>243</v>
      </c>
      <c r="B17" t="s">
        <v>244</v>
      </c>
      <c r="C17" t="s">
        <v>247</v>
      </c>
      <c r="D17" t="s">
        <v>140</v>
      </c>
      <c r="E17" t="s">
        <v>72</v>
      </c>
      <c r="F17" t="s">
        <v>249</v>
      </c>
      <c r="G17" t="s">
        <v>250</v>
      </c>
      <c r="H17" t="s">
        <v>251</v>
      </c>
      <c r="I17" t="s">
        <v>252</v>
      </c>
      <c r="J17" t="s">
        <v>147</v>
      </c>
    </row>
    <row r="18" spans="1:10" ht="15" customHeight="1" x14ac:dyDescent="0.25">
      <c r="A18" t="s">
        <v>253</v>
      </c>
      <c r="B18" t="s">
        <v>254</v>
      </c>
      <c r="C18" t="s">
        <v>256</v>
      </c>
      <c r="D18" t="s">
        <v>140</v>
      </c>
      <c r="E18" t="s">
        <v>72</v>
      </c>
      <c r="F18" t="s">
        <v>257</v>
      </c>
      <c r="G18" t="s">
        <v>258</v>
      </c>
      <c r="H18" t="s">
        <v>259</v>
      </c>
      <c r="I18" t="s">
        <v>260</v>
      </c>
      <c r="J18" t="s">
        <v>261</v>
      </c>
    </row>
    <row r="19" spans="1:10" ht="15" customHeight="1" x14ac:dyDescent="0.25">
      <c r="A19" t="s">
        <v>262</v>
      </c>
      <c r="B19" t="s">
        <v>263</v>
      </c>
      <c r="C19" t="s">
        <v>266</v>
      </c>
      <c r="D19" t="s">
        <v>140</v>
      </c>
      <c r="E19" t="s">
        <v>72</v>
      </c>
      <c r="F19" t="s">
        <v>269</v>
      </c>
      <c r="G19" t="s">
        <v>270</v>
      </c>
      <c r="H19" t="s">
        <v>271</v>
      </c>
      <c r="I19" t="s">
        <v>272</v>
      </c>
      <c r="J19" t="s">
        <v>147</v>
      </c>
    </row>
    <row r="20" spans="1:10" ht="15" customHeight="1" x14ac:dyDescent="0.25">
      <c r="A20" t="s">
        <v>275</v>
      </c>
      <c r="B20" t="s">
        <v>276</v>
      </c>
      <c r="C20" t="s">
        <v>280</v>
      </c>
      <c r="D20" t="s">
        <v>140</v>
      </c>
      <c r="E20" t="s">
        <v>72</v>
      </c>
      <c r="F20" t="s">
        <v>281</v>
      </c>
      <c r="G20" t="s">
        <v>282</v>
      </c>
      <c r="H20" t="s">
        <v>283</v>
      </c>
      <c r="I20" t="s">
        <v>284</v>
      </c>
      <c r="J20" t="s">
        <v>285</v>
      </c>
    </row>
    <row r="21" spans="1:10" ht="15" customHeight="1" x14ac:dyDescent="0.25">
      <c r="A21" t="s">
        <v>286</v>
      </c>
      <c r="B21" t="s">
        <v>287</v>
      </c>
      <c r="C21" t="s">
        <v>290</v>
      </c>
      <c r="D21" t="s">
        <v>140</v>
      </c>
      <c r="E21" t="s">
        <v>72</v>
      </c>
      <c r="F21" t="s">
        <v>291</v>
      </c>
      <c r="G21" t="s">
        <v>292</v>
      </c>
      <c r="H21" t="s">
        <v>293</v>
      </c>
      <c r="I21" t="s">
        <v>294</v>
      </c>
      <c r="J21" t="s">
        <v>295</v>
      </c>
    </row>
    <row r="22" spans="1:10" ht="15" customHeight="1" x14ac:dyDescent="0.25">
      <c r="A22" t="s">
        <v>297</v>
      </c>
      <c r="B22" t="s">
        <v>298</v>
      </c>
      <c r="C22" t="s">
        <v>301</v>
      </c>
      <c r="D22" t="s">
        <v>140</v>
      </c>
      <c r="E22" t="s">
        <v>72</v>
      </c>
      <c r="F22" t="s">
        <v>302</v>
      </c>
      <c r="G22" t="s">
        <v>303</v>
      </c>
      <c r="H22" t="s">
        <v>304</v>
      </c>
      <c r="I22" t="s">
        <v>305</v>
      </c>
      <c r="J22" t="s">
        <v>306</v>
      </c>
    </row>
    <row r="23" spans="1:10" ht="15" customHeight="1" x14ac:dyDescent="0.25">
      <c r="A23" t="s">
        <v>307</v>
      </c>
      <c r="B23" t="s">
        <v>308</v>
      </c>
      <c r="C23" t="s">
        <v>312</v>
      </c>
      <c r="D23" t="s">
        <v>140</v>
      </c>
      <c r="E23" t="s">
        <v>72</v>
      </c>
      <c r="F23" t="s">
        <v>315</v>
      </c>
      <c r="G23" t="s">
        <v>316</v>
      </c>
      <c r="H23" t="s">
        <v>317</v>
      </c>
      <c r="I23" t="s">
        <v>318</v>
      </c>
      <c r="J23" t="s">
        <v>319</v>
      </c>
    </row>
    <row r="24" spans="1:10" ht="15" customHeight="1" x14ac:dyDescent="0.25">
      <c r="A24" t="s">
        <v>320</v>
      </c>
      <c r="B24" t="s">
        <v>321</v>
      </c>
      <c r="C24" t="s">
        <v>325</v>
      </c>
      <c r="D24" t="s">
        <v>140</v>
      </c>
      <c r="E24" t="s">
        <v>72</v>
      </c>
      <c r="F24" t="s">
        <v>327</v>
      </c>
      <c r="G24" t="s">
        <v>328</v>
      </c>
      <c r="H24" t="s">
        <v>329</v>
      </c>
      <c r="I24" t="s">
        <v>330</v>
      </c>
      <c r="J24" t="s">
        <v>158</v>
      </c>
    </row>
    <row r="25" spans="1:10" ht="15" customHeight="1" x14ac:dyDescent="0.25">
      <c r="A25" t="s">
        <v>331</v>
      </c>
      <c r="B25" t="s">
        <v>332</v>
      </c>
      <c r="C25" t="s">
        <v>334</v>
      </c>
      <c r="D25" t="s">
        <v>140</v>
      </c>
      <c r="E25" t="s">
        <v>72</v>
      </c>
      <c r="F25" t="s">
        <v>335</v>
      </c>
      <c r="G25" t="s">
        <v>336</v>
      </c>
      <c r="H25" t="s">
        <v>337</v>
      </c>
      <c r="I25" t="s">
        <v>338</v>
      </c>
      <c r="J25" t="s">
        <v>339</v>
      </c>
    </row>
    <row r="26" spans="1:10" ht="15" customHeight="1" x14ac:dyDescent="0.25">
      <c r="A26" t="s">
        <v>341</v>
      </c>
      <c r="B26" t="s">
        <v>342</v>
      </c>
      <c r="C26" t="s">
        <v>344</v>
      </c>
      <c r="D26" t="s">
        <v>140</v>
      </c>
      <c r="E26" t="s">
        <v>72</v>
      </c>
      <c r="F26" t="s">
        <v>346</v>
      </c>
      <c r="G26" t="s">
        <v>347</v>
      </c>
      <c r="H26" t="s">
        <v>348</v>
      </c>
      <c r="I26" t="s">
        <v>349</v>
      </c>
      <c r="J26" t="s">
        <v>350</v>
      </c>
    </row>
    <row r="27" spans="1:10" ht="15" customHeight="1" x14ac:dyDescent="0.25">
      <c r="A27" t="s">
        <v>351</v>
      </c>
      <c r="B27" t="s">
        <v>352</v>
      </c>
      <c r="C27" t="s">
        <v>354</v>
      </c>
      <c r="D27" t="s">
        <v>140</v>
      </c>
      <c r="E27" t="s">
        <v>72</v>
      </c>
      <c r="F27" t="s">
        <v>355</v>
      </c>
      <c r="G27" t="s">
        <v>356</v>
      </c>
      <c r="H27" t="s">
        <v>357</v>
      </c>
      <c r="I27" t="s">
        <v>358</v>
      </c>
      <c r="J27" t="s">
        <v>359</v>
      </c>
    </row>
    <row r="28" spans="1:10" ht="15" customHeight="1" x14ac:dyDescent="0.25">
      <c r="A28" t="s">
        <v>361</v>
      </c>
      <c r="B28" t="s">
        <v>362</v>
      </c>
      <c r="C28" t="s">
        <v>366</v>
      </c>
      <c r="D28" t="s">
        <v>140</v>
      </c>
      <c r="E28" t="s">
        <v>72</v>
      </c>
      <c r="F28" t="s">
        <v>367</v>
      </c>
      <c r="G28" t="s">
        <v>368</v>
      </c>
      <c r="H28" t="s">
        <v>369</v>
      </c>
      <c r="I28" t="s">
        <v>370</v>
      </c>
      <c r="J28" t="s">
        <v>371</v>
      </c>
    </row>
    <row r="29" spans="1:10" ht="15" customHeight="1" x14ac:dyDescent="0.25">
      <c r="A29" t="s">
        <v>372</v>
      </c>
      <c r="B29" t="s">
        <v>373</v>
      </c>
      <c r="C29" t="s">
        <v>376</v>
      </c>
      <c r="D29" t="s">
        <v>140</v>
      </c>
      <c r="E29" t="s">
        <v>72</v>
      </c>
      <c r="F29" t="s">
        <v>378</v>
      </c>
      <c r="G29" t="s">
        <v>379</v>
      </c>
      <c r="H29" t="s">
        <v>380</v>
      </c>
      <c r="I29" t="s">
        <v>381</v>
      </c>
      <c r="J29" t="s">
        <v>382</v>
      </c>
    </row>
    <row r="30" spans="1:10" ht="15" customHeight="1" x14ac:dyDescent="0.25">
      <c r="A30" t="s">
        <v>383</v>
      </c>
      <c r="B30" t="s">
        <v>384</v>
      </c>
      <c r="C30" t="s">
        <v>387</v>
      </c>
      <c r="D30" t="s">
        <v>140</v>
      </c>
      <c r="E30" t="s">
        <v>72</v>
      </c>
      <c r="F30" t="s">
        <v>389</v>
      </c>
      <c r="G30" t="s">
        <v>390</v>
      </c>
      <c r="H30" t="s">
        <v>391</v>
      </c>
      <c r="I30" t="s">
        <v>392</v>
      </c>
      <c r="J30" t="s">
        <v>393</v>
      </c>
    </row>
    <row r="31" spans="1:10" ht="15" customHeight="1" x14ac:dyDescent="0.25">
      <c r="A31" t="s">
        <v>394</v>
      </c>
      <c r="B31" t="s">
        <v>395</v>
      </c>
      <c r="C31" t="s">
        <v>398</v>
      </c>
      <c r="D31" t="s">
        <v>140</v>
      </c>
      <c r="E31" t="s">
        <v>72</v>
      </c>
      <c r="F31" t="s">
        <v>401</v>
      </c>
      <c r="G31" t="s">
        <v>402</v>
      </c>
      <c r="H31" t="s">
        <v>403</v>
      </c>
      <c r="I31" t="s">
        <v>404</v>
      </c>
      <c r="J31" t="s">
        <v>405</v>
      </c>
    </row>
    <row r="32" spans="1:10" ht="15" customHeight="1" x14ac:dyDescent="0.25">
      <c r="A32" t="s">
        <v>406</v>
      </c>
      <c r="B32" t="s">
        <v>407</v>
      </c>
      <c r="C32" t="s">
        <v>412</v>
      </c>
      <c r="D32" t="s">
        <v>140</v>
      </c>
      <c r="E32" t="s">
        <v>72</v>
      </c>
      <c r="F32" t="s">
        <v>413</v>
      </c>
      <c r="G32" t="s">
        <v>414</v>
      </c>
      <c r="H32" t="s">
        <v>415</v>
      </c>
      <c r="I32" t="s">
        <v>416</v>
      </c>
      <c r="J32" t="s">
        <v>417</v>
      </c>
    </row>
    <row r="33" spans="1:10" ht="15" customHeight="1" x14ac:dyDescent="0.25">
      <c r="A33" t="s">
        <v>418</v>
      </c>
      <c r="B33" t="s">
        <v>419</v>
      </c>
      <c r="C33" t="s">
        <v>421</v>
      </c>
      <c r="D33" t="s">
        <v>140</v>
      </c>
      <c r="E33" t="s">
        <v>72</v>
      </c>
      <c r="F33" t="s">
        <v>413</v>
      </c>
      <c r="G33" t="s">
        <v>422</v>
      </c>
      <c r="H33" t="s">
        <v>423</v>
      </c>
      <c r="I33" t="s">
        <v>424</v>
      </c>
      <c r="J33" t="s">
        <v>425</v>
      </c>
    </row>
    <row r="34" spans="1:10" ht="15" customHeight="1" x14ac:dyDescent="0.25">
      <c r="A34" t="s">
        <v>426</v>
      </c>
      <c r="B34" t="s">
        <v>427</v>
      </c>
      <c r="C34" t="s">
        <v>430</v>
      </c>
      <c r="D34" t="s">
        <v>140</v>
      </c>
      <c r="E34" t="s">
        <v>72</v>
      </c>
      <c r="F34" t="s">
        <v>413</v>
      </c>
      <c r="G34" t="s">
        <v>431</v>
      </c>
      <c r="H34" t="s">
        <v>415</v>
      </c>
      <c r="I34" t="s">
        <v>432</v>
      </c>
      <c r="J34" t="s">
        <v>417</v>
      </c>
    </row>
    <row r="35" spans="1:10" ht="15" customHeight="1" x14ac:dyDescent="0.25">
      <c r="A35" t="s">
        <v>433</v>
      </c>
      <c r="B35" t="s">
        <v>434</v>
      </c>
      <c r="C35" t="s">
        <v>437</v>
      </c>
      <c r="D35" t="s">
        <v>140</v>
      </c>
      <c r="E35" t="s">
        <v>72</v>
      </c>
      <c r="F35" t="s">
        <v>439</v>
      </c>
      <c r="G35" t="s">
        <v>440</v>
      </c>
      <c r="H35" t="s">
        <v>441</v>
      </c>
      <c r="I35" t="s">
        <v>442</v>
      </c>
      <c r="J35" t="s">
        <v>443</v>
      </c>
    </row>
    <row r="36" spans="1:10" ht="15" customHeight="1" x14ac:dyDescent="0.25">
      <c r="A36" t="s">
        <v>444</v>
      </c>
      <c r="B36" t="s">
        <v>445</v>
      </c>
      <c r="C36" t="s">
        <v>447</v>
      </c>
      <c r="D36" t="s">
        <v>140</v>
      </c>
      <c r="E36" t="s">
        <v>72</v>
      </c>
      <c r="F36" t="s">
        <v>448</v>
      </c>
      <c r="G36" t="s">
        <v>449</v>
      </c>
      <c r="H36" t="s">
        <v>450</v>
      </c>
      <c r="I36" t="s">
        <v>451</v>
      </c>
      <c r="J36" t="s">
        <v>452</v>
      </c>
    </row>
    <row r="37" spans="1:10" ht="15" customHeight="1" x14ac:dyDescent="0.25">
      <c r="A37" t="s">
        <v>453</v>
      </c>
      <c r="B37" t="s">
        <v>454</v>
      </c>
      <c r="C37" t="s">
        <v>458</v>
      </c>
      <c r="D37" t="s">
        <v>140</v>
      </c>
      <c r="E37" t="s">
        <v>72</v>
      </c>
      <c r="F37" t="s">
        <v>462</v>
      </c>
      <c r="G37" t="s">
        <v>463</v>
      </c>
      <c r="H37" t="s">
        <v>464</v>
      </c>
      <c r="I37" t="s">
        <v>465</v>
      </c>
      <c r="J37" t="s">
        <v>466</v>
      </c>
    </row>
    <row r="38" spans="1:10" ht="15" customHeight="1" x14ac:dyDescent="0.25">
      <c r="A38" t="s">
        <v>467</v>
      </c>
      <c r="B38" t="s">
        <v>468</v>
      </c>
    </row>
    <row r="39" spans="1:10" ht="15" customHeight="1" x14ac:dyDescent="0.25">
      <c r="A39" t="s">
        <v>469</v>
      </c>
      <c r="B39" t="s">
        <v>470</v>
      </c>
    </row>
    <row r="40" spans="1:10" ht="15" customHeight="1" x14ac:dyDescent="0.25">
      <c r="A40" t="s">
        <v>472</v>
      </c>
      <c r="B40" t="s">
        <v>473</v>
      </c>
    </row>
    <row r="41" spans="1:10" ht="15" customHeight="1" x14ac:dyDescent="0.25">
      <c r="A41" t="s">
        <v>475</v>
      </c>
      <c r="B41" t="s">
        <v>476</v>
      </c>
    </row>
    <row r="42" spans="1:10" ht="15" customHeight="1" x14ac:dyDescent="0.25">
      <c r="A42" t="s">
        <v>478</v>
      </c>
      <c r="B42" t="s">
        <v>479</v>
      </c>
    </row>
    <row r="43" spans="1:10" ht="15" customHeight="1" x14ac:dyDescent="0.25">
      <c r="A43" t="s">
        <v>480</v>
      </c>
      <c r="B43" t="s">
        <v>481</v>
      </c>
    </row>
    <row r="44" spans="1:10" ht="15" customHeight="1" x14ac:dyDescent="0.25">
      <c r="A44" t="s">
        <v>482</v>
      </c>
      <c r="B44" t="s">
        <v>483</v>
      </c>
    </row>
    <row r="45" spans="1:10" ht="15" customHeight="1" x14ac:dyDescent="0.25">
      <c r="A45" t="s">
        <v>485</v>
      </c>
      <c r="B45" t="s">
        <v>486</v>
      </c>
    </row>
    <row r="46" spans="1:10" ht="15" customHeight="1" x14ac:dyDescent="0.25">
      <c r="A46" t="s">
        <v>488</v>
      </c>
      <c r="B46" t="s">
        <v>489</v>
      </c>
    </row>
    <row r="47" spans="1:10" ht="15" customHeight="1" x14ac:dyDescent="0.25">
      <c r="A47" t="s">
        <v>491</v>
      </c>
      <c r="B47" t="s">
        <v>492</v>
      </c>
    </row>
    <row r="48" spans="1:10" ht="15" customHeight="1" x14ac:dyDescent="0.25">
      <c r="A48" t="s">
        <v>493</v>
      </c>
      <c r="B48" t="s">
        <v>494</v>
      </c>
    </row>
    <row r="49" spans="1:2" ht="15" customHeight="1" x14ac:dyDescent="0.25">
      <c r="A49" t="s">
        <v>495</v>
      </c>
      <c r="B49" t="s">
        <v>496</v>
      </c>
    </row>
    <row r="50" spans="1:2" ht="15" customHeight="1" x14ac:dyDescent="0.25">
      <c r="A50" t="s">
        <v>497</v>
      </c>
      <c r="B50" t="s">
        <v>498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Dashboard</vt:lpstr>
      <vt:lpstr>Master Universe</vt:lpstr>
      <vt:lpstr>Financial Data</vt:lpstr>
      <vt:lpstr>Decision Journal</vt:lpstr>
      <vt:lpstr>Portfolio Tracker</vt:lpstr>
      <vt:lpstr>Event Overlay</vt:lpstr>
      <vt:lpstr>Quarterly Review</vt:lpstr>
      <vt:lpstr>Performance Analytics</vt:lpstr>
      <vt:lpstr>Research Queue</vt:lpstr>
      <vt:lpstr>Legacy Scores (Archived)</vt:lpstr>
      <vt:lpstr>Detailed Research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jagadish p</cp:lastModifiedBy>
  <cp:revision>0</cp:revision>
  <dcterms:created xsi:type="dcterms:W3CDTF">2026-07-05T14:02:02Z</dcterms:created>
  <dcterms:modified xsi:type="dcterms:W3CDTF">2026-07-09T09:26:18Z</dcterms:modified>
  <dc:language>en-US</dc:language>
</cp:coreProperties>
</file>