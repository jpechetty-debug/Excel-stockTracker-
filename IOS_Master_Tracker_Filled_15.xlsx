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ashboard" sheetId="1" state="visible" r:id="rId3"/>
    <sheet name="Master Universe" sheetId="2" state="visible" r:id="rId4"/>
    <sheet name="Financial Data" sheetId="3" state="visible" r:id="rId5"/>
    <sheet name="Decision Journal" sheetId="4" state="visible" r:id="rId6"/>
    <sheet name="Portfolio Tracker" sheetId="5" state="visible" r:id="rId7"/>
    <sheet name="Event Overlay" sheetId="6" state="visible" r:id="rId8"/>
    <sheet name="Quarterly Review" sheetId="7" state="visible" r:id="rId9"/>
    <sheet name="Performance Analytics" sheetId="8" state="visible" r:id="rId10"/>
    <sheet name="Research Queue" sheetId="9" state="visible" r:id="rId11"/>
    <sheet name="Legacy Scores (Archived)" sheetId="10" state="visible" r:id="rId12"/>
    <sheet name="Detailed Research" sheetId="11" state="visible" r:id="rId13"/>
  </sheets>
  <definedNames>
    <definedName function="false" hidden="true" localSheetId="1" name="_xlnm._FilterDatabase" vbProcedure="false">'Master Universe'!$A$1:$BD$50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AUTO-SCORE (v1, quantitative-only): Business Score = 35%xROE(cap35) + 20%xROCE(cap35) + 25%xGrowth(EPS if present else Revenue, cap25) + 20%x(1-Debt/Equity, cap at D/E=1). Investment Score = Business Score x valuation multiplier, where multiplier = MAX(0.5, MIN(1.3, 1.5 - 0.5xPEGY[or PEG if PEGY missing])) -- i.e. PEGY=1.0 (fair value) gives no adjustment, PEGY&lt;1 gives a bonus up to 1.3x, PEGY&gt;2 floors at 0.5x. NOTE: Capital Allocation / Management / Moat / Growth / Risk Scores (cols Z-AD) are still blank for every company, so this formula does NOT yet incorporate qualitative judgment -- it is a quantitative starting point, not a replacement for your own scoring once those columns are filled.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112</xdr:colOff>
                <xdr:row>75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<sst xmlns="http://schemas.openxmlformats.org/spreadsheetml/2006/main" count="1876" uniqueCount="693">
  <si>
    <t xml:space="preserve">Metric</t>
  </si>
  <si>
    <t xml:space="preserve">Value</t>
  </si>
  <si>
    <t xml:space="preserve">Portfolio Name</t>
  </si>
  <si>
    <t xml:space="preserve">IOS v3.1</t>
  </si>
  <si>
    <t xml:space="preserve">As of Date</t>
  </si>
  <si>
    <t xml:space="preserve">July 2026 Baseline</t>
  </si>
  <si>
    <t xml:space="preserve">Total Universe</t>
  </si>
  <si>
    <t xml:space="preserve">Core Holdings</t>
  </si>
  <si>
    <t xml:space="preserve">Bench</t>
  </si>
  <si>
    <t xml:space="preserve">Research</t>
  </si>
  <si>
    <t xml:space="preserve">Deferred</t>
  </si>
  <si>
    <t xml:space="preserve">Cash Allocation Target</t>
  </si>
  <si>
    <t xml:space="preserve">20%</t>
  </si>
  <si>
    <t xml:space="preserve">Review Frequency</t>
  </si>
  <si>
    <t xml:space="preserve">Quarterly</t>
  </si>
  <si>
    <t xml:space="preserve">Total Portfolio Value (Rs)</t>
  </si>
  <si>
    <t xml:space="preserve">Required Margin of Safety (%)</t>
  </si>
  <si>
    <t xml:space="preserve">Default Growth Rate if Missing (%)</t>
  </si>
  <si>
    <t xml:space="preserve">Cost of Equity Ke (%)</t>
  </si>
  <si>
    <t xml:space="preserve">India 10Y G-Sec Yield Ref (%)</t>
  </si>
  <si>
    <t xml:space="preserve">Valuation Model</t>
  </si>
  <si>
    <t xml:space="preserve">Justified P/E (ROE-based): PE = (1 - g/ROE) x 100/(Ke-g); IV = Implied EPS x Justified PE</t>
  </si>
  <si>
    <t xml:space="preserve">Note</t>
  </si>
  <si>
    <t xml:space="preserve">Current Price values are manual snapshots entered in Master Universe - refresh periodically, not live-linked</t>
  </si>
  <si>
    <t xml:space="preserve">S.No</t>
  </si>
  <si>
    <t xml:space="preserve">Company</t>
  </si>
  <si>
    <t xml:space="preserve">Ticker</t>
  </si>
  <si>
    <t xml:space="preserve">Sector</t>
  </si>
  <si>
    <t xml:space="preserve">Industry</t>
  </si>
  <si>
    <t xml:space="preserve">Market Cap</t>
  </si>
  <si>
    <t xml:space="preserve">IOS Stage</t>
  </si>
  <si>
    <t xml:space="preserve">Evidence Gate</t>
  </si>
  <si>
    <t xml:space="preserve">Business Score</t>
  </si>
  <si>
    <t xml:space="preserve">Investment Score</t>
  </si>
  <si>
    <t xml:space="preserve">Data Confidence (%)</t>
  </si>
  <si>
    <t xml:space="preserve">Business Confidence (%)</t>
  </si>
  <si>
    <t xml:space="preserve">Research Priority</t>
  </si>
  <si>
    <t xml:space="preserve">Event Overlay</t>
  </si>
  <si>
    <t xml:space="preserve">Business Quality Notes</t>
  </si>
  <si>
    <t xml:space="preserve">Valuation (P/E)</t>
  </si>
  <si>
    <t xml:space="preserve">PEG</t>
  </si>
  <si>
    <t xml:space="preserve">PEGY</t>
  </si>
  <si>
    <t xml:space="preserve">EV/EBIT</t>
  </si>
  <si>
    <t xml:space="preserve">ROE %</t>
  </si>
  <si>
    <t xml:space="preserve">ROCE %</t>
  </si>
  <si>
    <t xml:space="preserve">Debt/Equity</t>
  </si>
  <si>
    <t xml:space="preserve">FCF Yield %</t>
  </si>
  <si>
    <t xml:space="preserve">Revenue Growth %</t>
  </si>
  <si>
    <t xml:space="preserve">EPS Growth %</t>
  </si>
  <si>
    <t xml:space="preserve">Decision Journal</t>
  </si>
  <si>
    <t xml:space="preserve">Last Reviewed</t>
  </si>
  <si>
    <t xml:space="preserve">Next Review</t>
  </si>
  <si>
    <t xml:space="preserve">Buy Price</t>
  </si>
  <si>
    <t xml:space="preserve">Current Price</t>
  </si>
  <si>
    <t xml:space="preserve">Intrinsic Value</t>
  </si>
  <si>
    <t xml:space="preserve">Margin of Safety %</t>
  </si>
  <si>
    <t xml:space="preserve">Target Allocation %</t>
  </si>
  <si>
    <t xml:space="preserve">Position Size (₹)</t>
  </si>
  <si>
    <t xml:space="preserve">Status</t>
  </si>
  <si>
    <t xml:space="preserve">Catalyst</t>
  </si>
  <si>
    <t xml:space="preserve">Thesis Maturity</t>
  </si>
  <si>
    <t xml:space="preserve">Remarks</t>
  </si>
  <si>
    <t xml:space="preserve">Investment Thesis</t>
  </si>
  <si>
    <t xml:space="preserve">Key Risks</t>
  </si>
  <si>
    <t xml:space="preserve">Valuation Summary</t>
  </si>
  <si>
    <t xml:space="preserve">Upgrade/Downgrade Trigger</t>
  </si>
  <si>
    <t xml:space="preserve">Sources Verified</t>
  </si>
  <si>
    <t xml:space="preserve">EPS Implied (Rs, Price/PE)</t>
  </si>
  <si>
    <t xml:space="preserve">Growth Rate Used %</t>
  </si>
  <si>
    <t xml:space="preserve">Justified P/E</t>
  </si>
  <si>
    <t xml:space="preserve">Dividend Yield</t>
  </si>
  <si>
    <t xml:space="preserve">Beta</t>
  </si>
  <si>
    <t xml:space="preserve">P/E</t>
  </si>
  <si>
    <t xml:space="preserve">P/B</t>
  </si>
  <si>
    <t xml:space="preserve">Investment Confidence (%)</t>
  </si>
  <si>
    <t xml:space="preserve">Risk Score (Engine)</t>
  </si>
  <si>
    <t xml:space="preserve">Risk Confidence (%)</t>
  </si>
  <si>
    <t xml:space="preserve">Portfolio Weight</t>
  </si>
  <si>
    <t xml:space="preserve">Valuation Status</t>
  </si>
  <si>
    <t xml:space="preserve">Overall Recommendation</t>
  </si>
  <si>
    <t xml:space="preserve">Valuation Label</t>
  </si>
  <si>
    <t xml:space="preserve">Score Status</t>
  </si>
  <si>
    <t xml:space="preserve">Previous Close</t>
  </si>
  <si>
    <t xml:space="preserve">ROE Reconciliation Status</t>
  </si>
  <si>
    <t xml:space="preserve">ROE Reconciliation Note</t>
  </si>
  <si>
    <t xml:space="preserve">Gross NPA %</t>
  </si>
  <si>
    <t xml:space="preserve">Net NPA %</t>
  </si>
  <si>
    <t xml:space="preserve">CAR %</t>
  </si>
  <si>
    <t xml:space="preserve">PCR %</t>
  </si>
  <si>
    <t xml:space="preserve">Business Risk</t>
  </si>
  <si>
    <t xml:space="preserve">Financial Risk</t>
  </si>
  <si>
    <t xml:space="preserve">Valuation Risk</t>
  </si>
  <si>
    <t xml:space="preserve">Governance Risk</t>
  </si>
  <si>
    <t xml:space="preserve">Total Risk</t>
  </si>
  <si>
    <t xml:space="preserve">Computer Age Management Services (CAMS)</t>
  </si>
  <si>
    <t xml:space="preserve">CAMS.NS</t>
  </si>
  <si>
    <t xml:space="preserve">Technology</t>
  </si>
  <si>
    <t xml:space="preserve">Information Technology Services</t>
  </si>
  <si>
    <t xml:space="preserve">Core</t>
  </si>
  <si>
    <t xml:space="preserve">Pass</t>
  </si>
  <si>
    <t xml:space="preserve">Low - thesis proven, maintenance only</t>
  </si>
  <si>
    <t xml:space="preserve">None</t>
  </si>
  <si>
    <t xml:space="preserve">Dominant mutual fund RTA | Debt/Equity ~0.05 (near-zero net cash).</t>
  </si>
  <si>
    <t xml:space="preserve">Complete</t>
  </si>
  <si>
    <t xml:space="preserve">Jul-2026</t>
  </si>
  <si>
    <t xml:space="preserve">Oct-2026</t>
  </si>
  <si>
    <t xml:space="preserve">Market leadership</t>
  </si>
  <si>
    <t xml:space="preserve">Validated</t>
  </si>
  <si>
    <t xml:space="preserve">See structured fields (Thesis / Risks / Valuation / Trigger / Sources) for detail.</t>
  </si>
  <si>
    <t xml:space="preserve">Dominant RTA franchise (~65% mutual-fund AUM market share moat); high-margin, asset-light business compounding with AUM growth.</t>
  </si>
  <si>
    <t xml:space="preserve">Regulatory/SEBI fee-structure changes; AUM-linked revenue exposed to market downturns.</t>
  </si>
  <si>
    <t xml:space="preserve">P/E ~40x (near 10yr median); ROCE ~53-60%; ROE ~20-25%; net cash (~Rs.885M debt vs ~Rs.6.8B cash); gross margin ~65%, op margin ~40%.</t>
  </si>
  <si>
    <t xml:space="preserve">Core holding, already promoted. Downgrade trigger: AUM market-share loss or regulatory fee cap.</t>
  </si>
  <si>
    <t xml:space="preserve">Screener/GuruFocus aggregation, Jul-2026.</t>
  </si>
  <si>
    <t xml:space="preserve">OK</t>
  </si>
  <si>
    <t xml:space="preserve">Watch (Quality, Pricey)</t>
  </si>
  <si>
    <t xml:space="preserve">Significantly Overvalued</t>
  </si>
  <si>
    <t xml:space="preserve">Scored</t>
  </si>
  <si>
    <t xml:space="preserve">Tata Consultancy Services</t>
  </si>
  <si>
    <t xml:space="preserve">TCS.NS</t>
  </si>
  <si>
    <t xml:space="preserve">Low - maintenance, USFDA/deal-win monitoring</t>
  </si>
  <si>
    <t xml:space="preserve">High FCF and zero debt</t>
  </si>
  <si>
    <t xml:space="preserve">AI &amp; digital</t>
  </si>
  <si>
    <t xml:space="preserve">Largest Indian IT services franchise; AI-services growth narrative; deep valuation discount vs peers.</t>
  </si>
  <si>
    <t xml:space="preserve">ROE/ROCE not independently re-verified this session (pending); global IT spending slowdown; stock down ~55% off ATH signals sentiment risk.</t>
  </si>
  <si>
    <t xml:space="preserve">P/E ~18.6x vs Coforge ~36-38x; trading ~Rs.2,050-2,100 vs Aug-2024 ATH Rs.4,592.</t>
  </si>
  <si>
    <t xml:space="preserve">Verify current ROE/ROCE from primary source.</t>
  </si>
  <si>
    <t xml:space="preserve">Session verification, Jul-2026 (ROE/ROCE pending).</t>
  </si>
  <si>
    <t xml:space="preserve">Strong Buy</t>
  </si>
  <si>
    <t xml:space="preserve">Undervalued</t>
  </si>
  <si>
    <t xml:space="preserve">Lupin</t>
  </si>
  <si>
    <t xml:space="preserve">LUPIN.NS</t>
  </si>
  <si>
    <t xml:space="preserve">Healthcare</t>
  </si>
  <si>
    <t xml:space="preserve">Drug Manufacturers - Specialty &amp; Generic</t>
  </si>
  <si>
    <t xml:space="preserve">Low - minor pipeline monitoring</t>
  </si>
  <si>
    <t xml:space="preserve">Turnaround</t>
  </si>
  <si>
    <t xml:space="preserve">USFDA compliance</t>
  </si>
  <si>
    <t xml:space="preserve">Established</t>
  </si>
  <si>
    <t xml:space="preserve">Pharma turnaround story; margin expansion from product mix-shift; strengthening balance sheet.</t>
  </si>
  <si>
    <t xml:space="preserve">ROE/P/E figure sourced from unverified ML screen; mix-shift durability unconfirmed.</t>
  </si>
  <si>
    <t xml:space="preserve">ROCE 28.4%; revenue growth 23% (FY26); Q4 FY26 gross margin 75% (up from 61.7% YoY); net cash ~Rs.4,600cr.</t>
  </si>
  <si>
    <t xml:space="preserve">Confirm ROE/P/E against primary source (currently ML-screen only).</t>
  </si>
  <si>
    <t xml:space="preserve">FY26 results search this session, Jul-2026; ROE/P/E via ML Alpha screen (unverified).</t>
  </si>
  <si>
    <t xml:space="preserve">Conflict</t>
  </si>
  <si>
    <t xml:space="preserve">ROE conflict: automated engine shows 23.69, Financial Data sheet shows 29.10 (18.6% relative variance, threshold 15%).</t>
  </si>
  <si>
    <t xml:space="preserve">Nesco</t>
  </si>
  <si>
    <t xml:space="preserve">NESCO.NS</t>
  </si>
  <si>
    <t xml:space="preserve">Industrials</t>
  </si>
  <si>
    <t xml:space="preserve">Conglomerates</t>
  </si>
  <si>
    <t xml:space="preserve">Low - stable annuity economics</t>
  </si>
  <si>
    <t xml:space="preserve">Asset-backed cash flow</t>
  </si>
  <si>
    <t xml:space="preserve">Occupancy</t>
  </si>
  <si>
    <t xml:space="preserve">Zero-debt commercial real estate/exhibition-center operator; high-margin annuity-like business.</t>
  </si>
  <si>
    <t xml:space="preserve">Current P/E, ROE, revenue growth not independently pulled - re-rating risk unassessed.</t>
  </si>
  <si>
    <t xml:space="preserve">ROCE ~20-22%; operating margins ~60%; zero debt.</t>
  </si>
  <si>
    <t xml:space="preserve">Pull current P/E/ROE/revenue growth from primary source.</t>
  </si>
  <si>
    <t xml:space="preserve">Multiple sources this session, Jul-2026 (P/E/ROE/growth pending).</t>
  </si>
  <si>
    <t xml:space="preserve">Avoid</t>
  </si>
  <si>
    <t xml:space="preserve">Persistent Systems</t>
  </si>
  <si>
    <t xml:space="preserve">PERSISTENT.NS</t>
  </si>
  <si>
    <t xml:space="preserve">Low - thesis proven, monitor Nagarro integration</t>
  </si>
  <si>
    <t xml:space="preserve">Active</t>
  </si>
  <si>
    <t xml:space="preserve">IT services, US$1bn+ revenue, active M&amp;A strategy</t>
  </si>
  <si>
    <t xml:space="preserve">Pending</t>
  </si>
  <si>
    <t xml:space="preserve">Integration</t>
  </si>
  <si>
    <t xml:space="preserve">Developing</t>
  </si>
  <si>
    <t xml:space="preserve">IT services + Nagarro-style digital engineering growth compounder; historically high ROCE.</t>
  </si>
  <si>
    <t xml:space="preserve">Nagarro acquisition integration risk - do not score until integration clarity.</t>
  </si>
  <si>
    <t xml:space="preserve">P/E 38.7x; 3yr ROE 25.4%; net debt-free; ROCE ~20% and rising (exact current figure pending); 10yr median sales growth 19.6%.</t>
  </si>
  <si>
    <t xml:space="preserve">Nagarro integration clarity before scoring.</t>
  </si>
  <si>
    <t xml:space="preserve">Verified 2026-07 (Tijori + others).</t>
  </si>
  <si>
    <t xml:space="preserve">RR Kabel</t>
  </si>
  <si>
    <t xml:space="preserve">RRKABEL.NS</t>
  </si>
  <si>
    <t xml:space="preserve">Electrical Equipment &amp; Parts</t>
  </si>
  <si>
    <t xml:space="preserve">Medium - confirm FY27 EPS growth guidance (~11%)</t>
  </si>
  <si>
    <t xml:space="preserve">Cables &amp; FMEG manufacturer; strong brand, electrification tailwind</t>
  </si>
  <si>
    <t xml:space="preserve">Not started</t>
  </si>
  <si>
    <t xml:space="preserve">Watch</t>
  </si>
  <si>
    <t xml:space="preserve">Early</t>
  </si>
  <si>
    <t xml:space="preserve">Wire &amp; cable manufacturer; strong ROE/ROCE; zero long-term debt; no promoter pledge.</t>
  </si>
  <si>
    <t xml:space="preserve">Richly valued relative to own history (downgraded Fair-from-Attractive Oct-2025); recent all-time-high raises valuation-discipline concern.</t>
  </si>
  <si>
    <t xml:space="preserve">P/E ~46x (peer median ~50x); ROE 19.7%; ROCE 20.47% avg; PEG 0.74; net D/E 0.08; 5yr rev CAGR 15.1%, TTM growth 28%.</t>
  </si>
  <si>
    <t xml:space="preserve">Valuation-discipline check before promotion (Business Confidence pending).</t>
  </si>
  <si>
    <t xml:space="preserve">Verified 2026-07.</t>
  </si>
  <si>
    <t xml:space="preserve">Extreme Premium</t>
  </si>
  <si>
    <t xml:space="preserve">Cummins India</t>
  </si>
  <si>
    <t xml:space="preserve">CUMMINSIND.NS</t>
  </si>
  <si>
    <t xml:space="preserve">Specialty Industrial Machinery</t>
  </si>
  <si>
    <t xml:space="preserve">Low - monitor quarterly, high valuation</t>
  </si>
  <si>
    <t xml:space="preserve">Diesel/alt-fuel engines &amp; gensets; 51% Cummins Inc-backed, near debt-free, high-ROCE compounder</t>
  </si>
  <si>
    <t xml:space="preserve">Diesel/alt-fuel engines &amp; gensets; 51% Cummins Inc-backed; high-ROCE compounder.</t>
  </si>
  <si>
    <t xml:space="preserve">Valuation re-rated hard (+95% 1yr) - entry discipline needed; PEG likely expensive given re-rating.</t>
  </si>
  <si>
    <t xml:space="preserve">P/E 64.3x; ROCE 36.3%; ROE 28.2% (3yr 26.3%); near debt-free; 5yr sales growth 15%, TTM 13%; 5yr profit CAGR 22% (3yr 35%).</t>
  </si>
  <si>
    <t xml:space="preserve">Entry-price discipline check before promotion; DC/BC not yet scored.</t>
  </si>
  <si>
    <t xml:space="preserve">Verified 2026-07 (Screener).</t>
  </si>
  <si>
    <t xml:space="preserve">ROE matches within tolerance (1.2% variance).</t>
  </si>
  <si>
    <t xml:space="preserve">MTAR Technologies</t>
  </si>
  <si>
    <t xml:space="preserve">MTARTECH.NS</t>
  </si>
  <si>
    <t xml:space="preserve">Fail</t>
  </si>
  <si>
    <t xml:space="preserve">Low - high valuation, weak ROE/ROCE vs threshold</t>
  </si>
  <si>
    <t xml:space="preserve">Precision components: nuclear, space, defense, clean energy</t>
  </si>
  <si>
    <t xml:space="preserve">Jan-2027</t>
  </si>
  <si>
    <t xml:space="preserve">AI/defense/clean-energy narrative stock.</t>
  </si>
  <si>
    <t xml:space="preserve">Client concentration (Bloom Energy exposure); valuation entirely narrative-driven, not supported by returns.</t>
  </si>
  <si>
    <t xml:space="preserve">P/E ~190-258x (peer median ~34x); ROE only 7.26%; ROCE only 11.16% - both fail 20% threshold.</t>
  </si>
  <si>
    <t xml:space="preserve">N/A - excluded outright, fails core profitability gate.</t>
  </si>
  <si>
    <t xml:space="preserve">Aegis Logistics</t>
  </si>
  <si>
    <t xml:space="preserve">AEGISLOG.NS</t>
  </si>
  <si>
    <t xml:space="preserve">Energy</t>
  </si>
  <si>
    <t xml:space="preserve">Oil &amp; Gas Refining &amp; Marketing</t>
  </si>
  <si>
    <t xml:space="preserve">Blocked - resolve ROCE conflict (24.93% vs 15.37%) before scoring</t>
  </si>
  <si>
    <t xml:space="preserve">LPG/gas logistics &amp; storage; infrastructure-like moat</t>
  </si>
  <si>
    <t xml:space="preserve">Sep-2026</t>
  </si>
  <si>
    <t xml:space="preserve">Research (Blocked)</t>
  </si>
  <si>
    <t xml:space="preserve">Logistics/energy-storage business with historically strong ROCE claims.</t>
  </si>
  <si>
    <t xml:space="preserve">ROCE conflict unresolved (24.93% vs 15.37% across sources); revenue deceleration (-0.1% FY25 vs 5yr CAGR 28.2%); WACC 12.42% vs ROIC ~10.34% (one source implies value destruction).</t>
  </si>
  <si>
    <t xml:space="preserve">ROE 20.43%; D/E 0.10 (above sector avg 0.03); P/E ~39x vs peer median ~23x.</t>
  </si>
  <si>
    <t xml:space="preserve">Resolve ROCE conflict via primary source before scoring.</t>
  </si>
  <si>
    <t xml:space="preserve">moneyworks4me, GuruFocus, other tracker (conflicting), Jul-2026.</t>
  </si>
  <si>
    <t xml:space="preserve">Neuland Laboratories</t>
  </si>
  <si>
    <t xml:space="preserve">NEULANDLAB.NS</t>
  </si>
  <si>
    <t xml:space="preserve">Monitor - working capital / FCF trend</t>
  </si>
  <si>
    <t xml:space="preserve">API/CDMO pharma manufacturer</t>
  </si>
  <si>
    <t xml:space="preserve">Pharma API/CDMO manufacturer; strong revenue growth and margins.</t>
  </si>
  <si>
    <t xml:space="preserve">Negative FCF (-Rs.49.4cr) from working-capital build; Tijori flags WC dragging ROCE/ROE; promoter holding declining (-3.5% 3yr); company self-warns of 'irregular earnings patterns.'</t>
  </si>
  <si>
    <t xml:space="preserve">P/E 64-95x (conflicting, unresolved); FY26 revenue +37%; Q4 EBITDA margin 40.5%.</t>
  </si>
  <si>
    <t xml:space="preserve">Resolve P/E conflict via Screener; follow up on working-capital and promoter-selling trend.</t>
  </si>
  <si>
    <t xml:space="preserve">Verified 2026-07 (conflicting across sources).</t>
  </si>
  <si>
    <t xml:space="preserve">Elecon Engineering</t>
  </si>
  <si>
    <t xml:space="preserve">ELECON.NS</t>
  </si>
  <si>
    <t xml:space="preserve">Monitor - order-book/execution recovery after Q4 FY26 miss</t>
  </si>
  <si>
    <t xml:space="preserve">Industrial gears/material handling equipment</t>
  </si>
  <si>
    <t xml:space="preserve">Industrial gear/power-transmission manufacturer; net cash position.</t>
  </si>
  <si>
    <t xml:space="preserve">ROE below 20% IOS threshold; stock down -17.9% 52wk despite decent fundamentals.</t>
  </si>
  <si>
    <t xml:space="preserve">P/E 35.2x; ROE 15.85%; ROIC 18.21%; D/E 0.12; net cash.</t>
  </si>
  <si>
    <t xml:space="preserve">ROE needs to clear 20% threshold to qualify as core-quality candidate.</t>
  </si>
  <si>
    <t xml:space="preserve">State Bank of India</t>
  </si>
  <si>
    <t xml:space="preserve">SBIN.NS</t>
  </si>
  <si>
    <t xml:space="preserve">Financial Services</t>
  </si>
  <si>
    <t xml:space="preserve">Banks - Regional</t>
  </si>
  <si>
    <t xml:space="preserve">Medium - standard quarterly monitoring (bank; ROCE/D-E not standard metrics)</t>
  </si>
  <si>
    <t xml:space="preserve">Largest PSU bank by assets; ~22% deposit share, ~20% net advance share | ROCE/Debt-Equity shown are mechanically computed (Tijori/StockViz) - not economically standard metrics for a deposit-funded bank / borrowings-funded NBFC balance sheet; included per request, interpret with that context.</t>
  </si>
  <si>
    <t xml:space="preserve">Largest PSU bank by assets; strong profit growth; cheap valuation.</t>
  </si>
  <si>
    <t xml:space="preserve">Bank-specific yardstick applied (ROE&gt;15%, not 20% threshold) - judgment call on cross-comparability; ROCE/D-E not meaningful for banks.</t>
  </si>
  <si>
    <t xml:space="preserve">FY26 net profit Rs.80,032cr (+12.88% YoY); ROA 1.12%; ROE 18.57%; P/E ~11.6x; advances +16.87% YoY; deposits +11.03% YoY.</t>
  </si>
  <si>
    <t xml:space="preserve">DC/BC not yet formally scored - first-pass research only.</t>
  </si>
  <si>
    <t xml:space="preserve">Verified 2026-07 (GuruFocus).</t>
  </si>
  <si>
    <t xml:space="preserve">Missing EV/EBIT (EBIT &lt;= 0)</t>
  </si>
  <si>
    <t xml:space="preserve">Fair Value</t>
  </si>
  <si>
    <t xml:space="preserve">ROE conflict: automated engine shows 13.55, Financial Data sheet shows 18.57 (27.1% relative variance, threshold 15%).</t>
  </si>
  <si>
    <t xml:space="preserve">Titan Company</t>
  </si>
  <si>
    <t xml:space="preserve">TITAN.NS</t>
  </si>
  <si>
    <t xml:space="preserve">Consumer Cyclical</t>
  </si>
  <si>
    <t xml:space="preserve">Luxury Goods</t>
  </si>
  <si>
    <t xml:space="preserve">Blocked - resolve ROCE conflict (20-21% vs 37.37%) and D/E conflict (0 vs 1.56)</t>
  </si>
  <si>
    <t xml:space="preserve">Jewellery/watches/eyewear lifestyle major, Tata Group</t>
  </si>
  <si>
    <t xml:space="preserve">Dominant jewelry/watches consumer franchise; strong headline ROE.</t>
  </si>
  <si>
    <t xml:space="preserve">ROCE conflict (20-21% vs 37.37% across sources); D/E conflict (0 vs 1.56, likely Ind AS 116 lease treatment); Piotroski F-Score only 2/9 despite headline quality - notable red flag; P/E 76.5x vs industry median 21.6x, very rich.</t>
  </si>
  <si>
    <t xml:space="preserve">ROE 28.7-37.7% (range, all periods strong).</t>
  </si>
  <si>
    <t xml:space="preserve">Resolve ROCE and D/E conflicts before scoring.</t>
  </si>
  <si>
    <t xml:space="preserve">Verified 2026-07 (multiple, conflicting).</t>
  </si>
  <si>
    <t xml:space="preserve">Tech Mahindra</t>
  </si>
  <si>
    <t xml:space="preserve">TECHM.NS</t>
  </si>
  <si>
    <t xml:space="preserve">Low - weak 5yr growth (8.5%), payout exceeds EPS</t>
  </si>
  <si>
    <t xml:space="preserve">IT services subsidiary of Mahindra Group; telecom-heavy client mix</t>
  </si>
  <si>
    <t xml:space="preserve">IT services subsidiary of Mahindra Group.</t>
  </si>
  <si>
    <t xml:space="preserve">ROE well below 20% threshold; weak 5yr sales growth (8.46%); dividend payout 112% exceeds earnings.</t>
  </si>
  <si>
    <t xml:space="preserve">P/E ~25.3x; 3yr ROE 13.3%.</t>
  </si>
  <si>
    <t xml:space="preserve">N/A - excluded, no differentiated catalyst vs TCS.</t>
  </si>
  <si>
    <t xml:space="preserve">Verified 2026-07 (Screener/GuruFocus).</t>
  </si>
  <si>
    <t xml:space="preserve">ROE conflict: automated engine shows 16.00, Financial Data sheet shows 13.30 (16.9% relative variance, threshold 15%).</t>
  </si>
  <si>
    <t xml:space="preserve">Larsen &amp; Toubro</t>
  </si>
  <si>
    <t xml:space="preserve">LT.NS</t>
  </si>
  <si>
    <t xml:space="preserve">Engineering &amp; Construction</t>
  </si>
  <si>
    <t xml:space="preserve">Blocked - need segment-level D/E excluding financial-services arm</t>
  </si>
  <si>
    <t xml:space="preserve">Diversified EPC conglomerate: infra, hydrocarbon, defence, IT, financial services</t>
  </si>
  <si>
    <t xml:space="preserve">Diversified EPC conglomerate (infra, hydrocarbon, defence, IT, financial services).</t>
  </si>
  <si>
    <t xml:space="preserve">ROE/ROCE both below 20% threshold; D/E elevated (1.12-1.41) but distorted by NBFC arm - needs segment-level resolution; net debt rising sharply.</t>
  </si>
  <si>
    <t xml:space="preserve">P/E ~33.8x; ROE ~14.7-15%; ROCE ~17.85%.</t>
  </si>
  <si>
    <t xml:space="preserve">Segment-level D/E excluding financial-services arm needed before scoring.</t>
  </si>
  <si>
    <t xml:space="preserve">Verified 2026-07 (Tijori/Screener).</t>
  </si>
  <si>
    <t xml:space="preserve">ROE matches within tolerance (14.9% variance).</t>
  </si>
  <si>
    <t xml:space="preserve">Avalon Technologies</t>
  </si>
  <si>
    <t xml:space="preserve">AVALON.NS</t>
  </si>
  <si>
    <t xml:space="preserve">Electronic Components</t>
  </si>
  <si>
    <t xml:space="preserve">Low priority - structural Fail (ROE/ROCE below threshold), revisit only if fundamentals improve</t>
  </si>
  <si>
    <t xml:space="preserve">EMS/electronics manufacturing, PCB to box-build</t>
  </si>
  <si>
    <t xml:space="preserve">Research (Low priority)</t>
  </si>
  <si>
    <t xml:space="preserve">EMS (electronics manufacturing services) upcycle narrative stock.</t>
  </si>
  <si>
    <t xml:space="preserve">ROE/ROCE fail 20% threshold by wide margin; P/E swung 76x-134x on pure re-rating (+118% 1yr) - narrative priced in well ahead of fundamentals.</t>
  </si>
  <si>
    <t xml:space="preserve">ROE ~9-11% (3yr); ROCE avg 12.4%.</t>
  </si>
  <si>
    <t xml:space="preserve">N/A - excluded, same pattern as MTAR.</t>
  </si>
  <si>
    <t xml:space="preserve">CG Power and Industrial Solutions</t>
  </si>
  <si>
    <t xml:space="preserve">CGPOWER.NS</t>
  </si>
  <si>
    <t xml:space="preserve">Monitor - rich valuation vs order backlog growth</t>
  </si>
  <si>
    <t xml:space="preserve">Electrical equipment, electrification/industrial capex play</t>
  </si>
  <si>
    <t xml:space="preserve">Power equipment 'supercycle' narrative stock.</t>
  </si>
  <si>
    <t xml:space="preserve">ROCE flagged as decreasing even without significant capex (unexplained); extreme valuation.</t>
  </si>
  <si>
    <t xml:space="preserve">P/E ~121x (~200% premium to peer median ~40x); P/B ~18x vs peer median ~4.6x.</t>
  </si>
  <si>
    <t xml:space="preserve">N/A - excluded, priced for flawless multi-year supercycle with no margin for error.</t>
  </si>
  <si>
    <t xml:space="preserve">Session check, Jul-2026.</t>
  </si>
  <si>
    <t xml:space="preserve">Tejas Networks</t>
  </si>
  <si>
    <t xml:space="preserve">TEJASNET.NS</t>
  </si>
  <si>
    <t xml:space="preserve">Communication Equipment</t>
  </si>
  <si>
    <t xml:space="preserve">Monitor - loss-making, order lumpiness (BSNL contracts)</t>
  </si>
  <si>
    <t xml:space="preserve">Wireline/wireless telecom equipment; Tata Group (Panatone Finvest) promoted</t>
  </si>
  <si>
    <t xml:space="preserve">N/A (loss-making)</t>
  </si>
  <si>
    <t xml:space="preserve">Research (Weak)</t>
  </si>
  <si>
    <t xml:space="preserve">Telecom equipment manufacturer, Tata-promoted.</t>
  </si>
  <si>
    <t xml:space="preserve">FY26 net loss ~Rs.909cr; revenue collapse 88-90% YoY; negative ROE/ROCE; Debt/EBITDA ~7.94x while loss-making.</t>
  </si>
  <si>
    <t xml:space="preserve">N/A - loss-making, no meaningful P/E.</t>
  </si>
  <si>
    <t xml:space="preserve">N/A - excluded, capital destruction in progress.</t>
  </si>
  <si>
    <t xml:space="preserve">Invalid Inputs | Missing EV/EBIT (EBIT &lt;= 0)</t>
  </si>
  <si>
    <t xml:space="preserve">Confirmed Weak Fundamentals</t>
  </si>
  <si>
    <t xml:space="preserve">ROE conflict: automated engine shows -31.01, Financial Data sheet shows -4.01 (87.1% relative variance, threshold 15%).</t>
  </si>
  <si>
    <t xml:space="preserve">ACME Solar Holdings</t>
  </si>
  <si>
    <t xml:space="preserve">ACMESOLAR.NS</t>
  </si>
  <si>
    <t xml:space="preserve">Utilities</t>
  </si>
  <si>
    <t xml:space="preserve">Utilities - Renewable</t>
  </si>
  <si>
    <t xml:space="preserve">Monitor - ROE/ROCE below 20% threshold despite strong topline growth</t>
  </si>
  <si>
    <t xml:space="preserve">Solar/wind/hybrid/FDRE + BESS developer-operator; PPA-based revenue</t>
  </si>
  <si>
    <t xml:space="preserve">Solar/wind/hybrid/FDRE + BESS developer; strong revenue growth.</t>
  </si>
  <si>
    <t xml:space="preserve">ROE/ROCE well below 20% threshold; interest coverage thin (~1.15x); policy-dependent, capital-intensive profile (same as Premier Energies).</t>
  </si>
  <si>
    <t xml:space="preserve">ROE ~7.6-10.6%; ROCE ~2.7-8.4%; D/E ~0.5-0.86; P/E ~26-90x (date-dependent).</t>
  </si>
  <si>
    <t xml:space="preserve">N/A - exclude/monitor only, fails core profitability gate.</t>
  </si>
  <si>
    <t xml:space="preserve">Verified 2026-07 (MarketsMojo/Screener).</t>
  </si>
  <si>
    <t xml:space="preserve">ROE matches within tolerance (14.8% variance).</t>
  </si>
  <si>
    <t xml:space="preserve">Atul Auto</t>
  </si>
  <si>
    <t xml:space="preserve">ATULAUTO.NS</t>
  </si>
  <si>
    <t xml:space="preserve">Auto Manufacturers</t>
  </si>
  <si>
    <t xml:space="preserve">Low priority - ROE well below threshold, near-flat revenue CAGR</t>
  </si>
  <si>
    <t xml:space="preserve">Three-wheeler (auto rickshaw) manufacturer, Gujarat-based, ~4% domestic market share</t>
  </si>
  <si>
    <t xml:space="preserve">Three-wheeler manufacturer, Gujarat-based.</t>
  </si>
  <si>
    <t xml:space="preserve">ROE only 5.72% (3yr); rich valuation on weak returns; revenue CAGR near-flat.</t>
  </si>
  <si>
    <t xml:space="preserve">P/E ~26-44x.</t>
  </si>
  <si>
    <t xml:space="preserve">N/A - excluded, narrow moat, weak capital efficiency.</t>
  </si>
  <si>
    <t xml:space="preserve">Verified 2026-07 (Screener/MoneyWorks4Me).</t>
  </si>
  <si>
    <t xml:space="preserve">Overvalued</t>
  </si>
  <si>
    <t xml:space="preserve">ROE conflict: automated engine shows 8.62, Financial Data sheet shows 5.72 (33.7% relative variance, threshold 15%).</t>
  </si>
  <si>
    <t xml:space="preserve">Mahindra Holidays &amp; Resorts India</t>
  </si>
  <si>
    <t xml:space="preserve">MHRIL.NS</t>
  </si>
  <si>
    <t xml:space="preserve">Resorts &amp; Casinos</t>
  </si>
  <si>
    <t xml:space="preserve">Monitor - Altman Z-score 0.83 (weakest of peers), Q4 profit fell 43% on impairment</t>
  </si>
  <si>
    <t xml:space="preserve">Vacation-ownership (Club Mahindra) + Holiday Club Resorts (Nordic/EU); Mahindra Group subsidiary</t>
  </si>
  <si>
    <t xml:space="preserve">Vacation-ownership (Club Mahindra) + Holiday Club Resorts (Nordic/EU).</t>
  </si>
  <si>
    <t xml:space="preserve">Q4 FY26 profit -43.1% YoY (Mauritius impairment + soft EU); ROCE decreasing; Altman Z-score only 0.83 (weakest of 8 peers) - financial-stability red flag.</t>
  </si>
  <si>
    <t xml:space="preserve">P/E ~62.7x (98% premium to peer median).</t>
  </si>
  <si>
    <t xml:space="preserve">Resolve Altman Z / balance-sheet-strength concern before any scoring.</t>
  </si>
  <si>
    <t xml:space="preserve">Verified 2026-07 (Screener/Tijori/Groww).</t>
  </si>
  <si>
    <t xml:space="preserve">Power Finance Corporation</t>
  </si>
  <si>
    <t xml:space="preserve">PFC.NS</t>
  </si>
  <si>
    <t xml:space="preserve">Credit Services</t>
  </si>
  <si>
    <t xml:space="preserve">Blocked - PFC-REC merger integration pending, do not score standalone metrics</t>
  </si>
  <si>
    <t xml:space="preserve">PFC-REC merger (board-approved 28-Jun-2026, 88:100 swap)</t>
  </si>
  <si>
    <t xml:space="preserve">Maharatna PSU infra-finance NBFC lending to power-sector utilities; PFC-REC merger in progress | ROCE/Debt-Equity shown are mechanically computed (Tijori/StockViz) - not economically standard metrics for a deposit-funded bank / borrowings-funded NBFC balance sheet; included per request, interpret with that context.</t>
  </si>
  <si>
    <t xml:space="preserve">Research (Blocked - Merger)</t>
  </si>
  <si>
    <t xml:space="preserve">Corporate action</t>
  </si>
  <si>
    <t xml:space="preserve">Maharatna PSU infra-finance NBFC lending to power-sector utilities.</t>
  </si>
  <si>
    <t xml:space="preserve">PFC-REC merger (approved 28-Jun-2026) creates integration/dilution uncertainty; State DISCOM loan-book concentration.</t>
  </si>
  <si>
    <t xml:space="preserve">ROE ~19.49%; P/E ~5.6-7.3x (deep discount to peer avg ~17-18x); dividend yield ~5%.</t>
  </si>
  <si>
    <t xml:space="preserve">Merger integration must clear before scoring stabilizes.</t>
  </si>
  <si>
    <t xml:space="preserve">Verified 2026-07 (MarketsMojo/GuruFocus).</t>
  </si>
  <si>
    <t xml:space="preserve">ROE conflict: automated engine shows 14.93, Financial Data sheet shows 19.49 (23.4% relative variance, threshold 15%).</t>
  </si>
  <si>
    <t xml:space="preserve">ITC</t>
  </si>
  <si>
    <t xml:space="preserve">ITC.NS</t>
  </si>
  <si>
    <t xml:space="preserve">Consumer Defensive</t>
  </si>
  <si>
    <t xml:space="preserve">Tobacco</t>
  </si>
  <si>
    <t xml:space="preserve">Monitor - Q4 FY26 profit fell 73% YoY on base effect, use FY figure for trend</t>
  </si>
  <si>
    <t xml:space="preserve">Dominant cigarettes + FMCG (25+ brands) + paperboards/agri conglomerate; hotels demerged Jan-2025</t>
  </si>
  <si>
    <t xml:space="preserve">Mature</t>
  </si>
  <si>
    <t xml:space="preserve">Dominant cigarettes + FMCG + paperboards/agri conglomerate.</t>
  </si>
  <si>
    <t xml:space="preserve">5yr sales growth only 9.87% (poor) - cigarette-volume dependency, FMCG-Others scaling slowly; ongoing restructuring (Sresta/Wimco amalgamation) to watch.</t>
  </si>
  <si>
    <t xml:space="preserve">3yr ROE 35.2%; P/E ~17.6-19x; dividend yield ~5%; near debt-free; payout 74.5%.</t>
  </si>
  <si>
    <t xml:space="preserve">Growth-catalyst check needed before promotion.</t>
  </si>
  <si>
    <t xml:space="preserve">ROE conflict: automated engine shows 28.39, Financial Data sheet shows 35.20 (19.3% relative variance, threshold 15%).</t>
  </si>
  <si>
    <t xml:space="preserve">Eicher Motors</t>
  </si>
  <si>
    <t xml:space="preserve">EICHERMOT.NS</t>
  </si>
  <si>
    <t xml:space="preserve">Monitor - rich valuation, EV portfolio gap flagged by analysts</t>
  </si>
  <si>
    <t xml:space="preserve">Royal Enfield (global leader, mid-weight motorcycles) + VECV JV with AB Volvo (trucks/buses)</t>
  </si>
  <si>
    <t xml:space="preserve">Royal Enfield (global mid-weight motorcycle leader) + VECV JV with AB Volvo.</t>
  </si>
  <si>
    <t xml:space="preserve">Valuation stretched (P/E ~38-41x, 'somewhat overvalued' per MoneyWorks4Me); P/B ~8-9.6x.</t>
  </si>
  <si>
    <t xml:space="preserve">Current ROE ~24%; near debt-free; revenue CAGR ~15.6% (vs ~13.4% industry median).</t>
  </si>
  <si>
    <t xml:space="preserve">Same valuation-discipline check as RR Kabel before promotion.</t>
  </si>
  <si>
    <t xml:space="preserve">Verified 2026-07 (Screener/MoneyWorks4Me/Wisesheets).</t>
  </si>
  <si>
    <t xml:space="preserve">Hold</t>
  </si>
  <si>
    <t xml:space="preserve">ROE matches within tolerance (8.4% variance).</t>
  </si>
  <si>
    <t xml:space="preserve">CreditAccess Grameen</t>
  </si>
  <si>
    <t xml:space="preserve">CREDITACC.NS</t>
  </si>
  <si>
    <t xml:space="preserve">Active - confirm ROE/ROA recovery holds 2 more quarters vs FY27 guidance (16-20%)</t>
  </si>
  <si>
    <t xml:space="preserve">India's largest MFI (Grameen Koota); diversifying into retail/individual/two-wheeler lending | ROCE/Debt-Equity shown are mechanically computed (Tijori/StockViz) - not economically standard metrics for a deposit-funded bank / borrowings-funded NBFC balance sheet; included per request, interpret with that context.</t>
  </si>
  <si>
    <t xml:space="preserve">Research (Recovery watch)</t>
  </si>
  <si>
    <t xml:space="preserve">India's largest MFI (Grameen Koota); diversifying into retail/individual/two-wheeler lending.</t>
  </si>
  <si>
    <t xml:space="preserve">Trailing 3yr ROE only 13.8% (below threshold) after FY26 MFI-sector stress (Karnataka delinquencies).</t>
  </si>
  <si>
    <t xml:space="preserve">FY26 full-year ROA 2.7%/ROE 10.7%; Q4 FY26 recovered to ROA 4.4%/ROE 17.8%; GNPA improved to 3.17%; P/E ~41.9x. FY27 guidance ROE 16-20%.</t>
  </si>
  <si>
    <t xml:space="preserve">Needs 1-2 more quarters of recovery confirmation vs guidance.</t>
  </si>
  <si>
    <t xml:space="preserve">Verified 2026-07 (Screener/company guidance/MOFSL).</t>
  </si>
  <si>
    <t xml:space="preserve">ROE matches within tolerance (7.3% variance).</t>
  </si>
  <si>
    <t xml:space="preserve">Punjab National Bank</t>
  </si>
  <si>
    <t xml:space="preserve">PNB.NS</t>
  </si>
  <si>
    <t xml:space="preserve">Low - PSU bank, improving but sub-scale vs SBI</t>
  </si>
  <si>
    <t xml:space="preserve">India's 2nd-largest PSU bank; post-NPA-cycle turnaround story, govt-owned (Promoter 70.1%) | ROCE/Debt-Equity shown are mechanically computed (Tijori/StockViz) - not economically standard metrics for a deposit-funded bank / borrowings-funded NBFC balance sheet; included per request, interpret with that context.</t>
  </si>
  <si>
    <t xml:space="preserve">India's 2nd-largest PSU bank; post-NPA-cycle turnaround story.</t>
  </si>
  <si>
    <t xml:space="preserve">ROE below SBI's and below 20% (non-bank) threshold; 5yr sales growth poor (9.8%).</t>
  </si>
  <si>
    <t xml:space="preserve">ROE ~14.9%; ROA ~0.9-1.1%; P/E ~7.3-8x (cheap).</t>
  </si>
  <si>
    <t xml:space="preserve">N/A - excluded vs SBI as better-quality PSU-bank exposure.</t>
  </si>
  <si>
    <t xml:space="preserve">Verified 2026-07 (Screener/GuruFocus/Univest).</t>
  </si>
  <si>
    <t xml:space="preserve">Uncertain - Partial Data</t>
  </si>
  <si>
    <t xml:space="preserve">ROE conflict: automated engine shows 12.21, Financial Data sheet shows 14.90 (18.1% relative variance, threshold 15%).</t>
  </si>
  <si>
    <t xml:space="preserve">Coforge</t>
  </si>
  <si>
    <t xml:space="preserve">COFORGE.NS</t>
  </si>
  <si>
    <t xml:space="preserve">High - resolvable via post-Encora quarterly filings</t>
  </si>
  <si>
    <t xml:space="preserve">Cigniti Technologies amalgamation (completed)</t>
  </si>
  <si>
    <t xml:space="preserve">IT services, post-Encora acquisition integration phase</t>
  </si>
  <si>
    <t xml:space="preserve">IT services + Encora acquisition-led growth.</t>
  </si>
  <si>
    <t xml:space="preserve">Thesis Health Score revised down 83-&gt;71/100; Encora funded via ~20% equity dilution (Rs.17,032cr QIP) plus debt roughly tripling; PE-sponsor (Advent/Warburg) stake-sale overhang; same IT theme as TCS - cannot hold both under one-theme-per-core-slot rule.</t>
  </si>
  <si>
    <t xml:space="preserve">P/E ~36-38x vs TCS ~18.6x (~2x premium).</t>
  </si>
  <si>
    <t xml:space="preserve">2 consecutive quarters of post-Encora integration proof, debt reduction, EPS accretion validated.</t>
  </si>
  <si>
    <t xml:space="preserve">Session review (multiple).</t>
  </si>
  <si>
    <t xml:space="preserve">Premier Energies</t>
  </si>
  <si>
    <t xml:space="preserve">PREMIERENE.NS</t>
  </si>
  <si>
    <t xml:space="preserve">Solar</t>
  </si>
  <si>
    <t xml:space="preserve">Medium - structural (policy) + resolvable (FCF checkpoint) mixed gap</t>
  </si>
  <si>
    <t xml:space="preserve">Solar cell/module manufacturing, capacity expansion phase</t>
  </si>
  <si>
    <t xml:space="preserve">Deferred (Policy-dependent)</t>
  </si>
  <si>
    <t xml:space="preserve">Solar module/cell manufacturer; high ROE; policy-tailwind (ALMM/PLI) beneficiary.</t>
  </si>
  <si>
    <t xml:space="preserve">D/E ~0.86 fails &lt;0.3 threshold; FCF currently negative (~-Rs.17.4bn) from heavy capex; policy-dependent (structural, permanent risk tag).</t>
  </si>
  <si>
    <t xml:space="preserve">PEG ~1.06 (passes); ROE ~42% (strong).</t>
  </si>
  <si>
    <t xml:space="preserve">FCF-to-positive checkpoint, review quarterly.</t>
  </si>
  <si>
    <t xml:space="preserve">Session review.</t>
  </si>
  <si>
    <t xml:space="preserve">Star Health and Allied Insurance Company</t>
  </si>
  <si>
    <t xml:space="preserve">STARHEALTH.NS</t>
  </si>
  <si>
    <t xml:space="preserve">Insurance - Life</t>
  </si>
  <si>
    <t xml:space="preserve">High - resolvable via next 1-2 quarters underwriting data</t>
  </si>
  <si>
    <t xml:space="preserve">Standalone health insurer, retail-focused</t>
  </si>
  <si>
    <t xml:space="preserve">Deferred (Weak ROE)</t>
  </si>
  <si>
    <t xml:space="preserve">Health insurer; underwriting profitability recovering.</t>
  </si>
  <si>
    <t xml:space="preserve">Retail claim settlement ratio only 92% (not 99%, which was actually renewal ratio - correction needed); solvency ratio (214%) not independently verified; durability vs medical inflation (12-13% expected 2026) and pending commission regulation untested.</t>
  </si>
  <si>
    <t xml:space="preserve">Combined ratio 98.9% (Q3 FY26, improved from 102.1% YoY); renewal ratio 99%; loss/incurred claim ratio improved 71.8%-&gt;68.8%.</t>
  </si>
  <si>
    <t xml:space="preserve">Awaiting 1-2 more quarters before candidate-pool promotion.</t>
  </si>
  <si>
    <t xml:space="preserve">Session review; Business Confidence = Moderate.</t>
  </si>
  <si>
    <t xml:space="preserve">Vikram Solar</t>
  </si>
  <si>
    <t xml:space="preserve">VIKRAMSOLR.NS</t>
  </si>
  <si>
    <t xml:space="preserve">Blocked - understand NCLAT set-aside (29-Jun-2026) and reconcile D/E before further work</t>
  </si>
  <si>
    <t xml:space="preserve">NCLAT set aside NCLT Kolkata insolvency admission (29-Jun-2026)</t>
  </si>
  <si>
    <t xml:space="preserve">Solar PV module manufacturer + EPC/O&amp;M; large order book (10.3GW, 2x FY25 capacity)</t>
  </si>
  <si>
    <t xml:space="preserve">Aug-2026</t>
  </si>
  <si>
    <t xml:space="preserve">Deferred (Blocked - legal)</t>
  </si>
  <si>
    <t xml:space="preserve">Solar PV module manufacturer + EPC/O&amp;M; large order book (10.3GW).</t>
  </si>
  <si>
    <t xml:space="preserve">MAJOR: NCLT insolvency case (set aside by NCLAT 29-Jun-2026, root cause unverified); D/E conflict (1.81x vs implied lower post-paydown); previously flagged as 'story over evidence' lapse.</t>
  </si>
  <si>
    <t xml:space="preserve">P/E ~16.5x (cheap, 42% discount to peer median); ROE improved to 19.67% (2024) from 4.05% (2023); revenue CAGR 17-28.5%; Altman Z-score 3.87.</t>
  </si>
  <si>
    <t xml:space="preserve">Insolvency matter fully understood AND D/E reconciled to primary filing before promotion out of Conflict.</t>
  </si>
  <si>
    <t xml:space="preserve">Verified 2026-07 (Screener/Tijori/ValueResearch/wwipl).</t>
  </si>
  <si>
    <t xml:space="preserve">SANDUMA</t>
  </si>
  <si>
    <t xml:space="preserve">SANDUMA.NS</t>
  </si>
  <si>
    <t xml:space="preserve">Basic Materials</t>
  </si>
  <si>
    <t xml:space="preserve">Steel</t>
  </si>
  <si>
    <t xml:space="preserve">ML Screen</t>
  </si>
  <si>
    <t xml:space="preserve">Monitor - cyclical commodity, capacity expansion approved</t>
  </si>
  <si>
    <t xml:space="preserve">Metals &amp; Mining (iron ore)</t>
  </si>
  <si>
    <t xml:space="preserve">N/A - excluded on cyclicality principle.</t>
  </si>
  <si>
    <t xml:space="preserve">ML Alpha screen only, unverified against primary source; commodity-price-driven earnings.</t>
  </si>
  <si>
    <t xml:space="preserve">Not independently verified.</t>
  </si>
  <si>
    <t xml:space="preserve">N/A - excluded, doesn't fit quality-compounder bucket regardless of screen score.</t>
  </si>
  <si>
    <t xml:space="preserve">ML Alpha screen only (unverified).</t>
  </si>
  <si>
    <t xml:space="preserve">NMDC</t>
  </si>
  <si>
    <t xml:space="preserve">NMDC.NS</t>
  </si>
  <si>
    <t xml:space="preserve">Monitor - PSU miner, iron ore price sensitive</t>
  </si>
  <si>
    <t xml:space="preserve">Iron ore mining, PSU</t>
  </si>
  <si>
    <t xml:space="preserve">Cyclical commodity business, earnings swing with iron ore prices.</t>
  </si>
  <si>
    <t xml:space="preserve">P/E 10.2; ROE 23.4% (ML Alpha screen, statistically attractive but not IOS-fit).</t>
  </si>
  <si>
    <t xml:space="preserve">N/A - excluded early in session.</t>
  </si>
  <si>
    <t xml:space="preserve">ML Alpha screen (unverified vs primary).</t>
  </si>
  <si>
    <t xml:space="preserve">Ashapura Minechem</t>
  </si>
  <si>
    <t xml:space="preserve">ASHAPURMIN.NS</t>
  </si>
  <si>
    <t xml:space="preserve">Other Industrial Metals &amp; Mining</t>
  </si>
  <si>
    <t xml:space="preserve">Monitor - FY26 revenue nearly doubled, net debt declining</t>
  </si>
  <si>
    <t xml:space="preserve">Metals &amp; Mining (bentonite/bauxite)</t>
  </si>
  <si>
    <t xml:space="preserve">ML Alpha screen only, unverified against primary source.</t>
  </si>
  <si>
    <t xml:space="preserve">N/A - excluded, same cyclicality principle as NMDC/SANDUMA.</t>
  </si>
  <si>
    <t xml:space="preserve">BLS International Services</t>
  </si>
  <si>
    <t xml:space="preserve">BLS.NS</t>
  </si>
  <si>
    <t xml:space="preserve">Specialty Business Services</t>
  </si>
  <si>
    <t xml:space="preserve">Active - confirm FY27 govt contract renewal terms</t>
  </si>
  <si>
    <t xml:space="preserve">Visa/govt-outsourcing services</t>
  </si>
  <si>
    <t xml:space="preserve">ML Screen (Active)</t>
  </si>
  <si>
    <t xml:space="preserve">Visa/consular outsourcing services provider.</t>
  </si>
  <si>
    <t xml:space="preserve">ROCE inconsistent across sources (28% vs 64%, large spread); management self-disclosed government-contract renewal uncertainty on Q4 call; FY27 growth guidance (20-25%) is a deceleration from FY26 actual; some trackers show P/E &gt;1000x (likely low-base-year distortion).</t>
  </si>
  <si>
    <t xml:space="preserve">ML screen: P/E 15.3, ROE 32.7%, F-Score 8 (looks clean on screen).</t>
  </si>
  <si>
    <t xml:space="preserve">FY27 contract renewals confirmed and valuation reset before promotion.</t>
  </si>
  <si>
    <t xml:space="preserve">ML screen + deeper session research (conflicting).</t>
  </si>
  <si>
    <t xml:space="preserve">eClerx Services</t>
  </si>
  <si>
    <t xml:space="preserve">ECLERX.NS</t>
  </si>
  <si>
    <t xml:space="preserve">Monitor - ROCE-decline explanation, profit-quality check needed</t>
  </si>
  <si>
    <t xml:space="preserve">BPM/analytics, IT-adjacent services</t>
  </si>
  <si>
    <t xml:space="preserve">KPO/analytics services provider.</t>
  </si>
  <si>
    <t xml:space="preserve">Tijori flags ROCE decreasing despite no significant capex (unexplained); lower depreciation rate inflating net profit; possible aggressive revenue recognition (receivables growing faster than sales, poor OCF conversion); rating fell Strong Buy(Jan-2026)-&gt;Sell(Jun-2026); theme overlaps with TCS (IT).</t>
  </si>
  <si>
    <t xml:space="preserve">ML screen: P/E 19.4, ROE 29%, F-Score 8.</t>
  </si>
  <si>
    <t xml:space="preserve">Resolve ROCE-decline explanation; document IT-theme exception before promotion.</t>
  </si>
  <si>
    <t xml:space="preserve">ML screen + Tijori (session review).</t>
  </si>
  <si>
    <t xml:space="preserve">Sharda Cropchem</t>
  </si>
  <si>
    <t xml:space="preserve">SHARDACROP.NS</t>
  </si>
  <si>
    <t xml:space="preserve">Agricultural Inputs</t>
  </si>
  <si>
    <t xml:space="preserve">Data Hold</t>
  </si>
  <si>
    <t xml:space="preserve">Blocked - reconcile FY26 revenue/PAT vs BSE filing and ROE-basis conflict before proceeding</t>
  </si>
  <si>
    <t xml:space="preserve">Asset-light agrochemical registration/distribution platform, not a manufacturer</t>
  </si>
  <si>
    <t xml:space="preserve">Before further work</t>
  </si>
  <si>
    <t xml:space="preserve">FY26 Reconciliation</t>
  </si>
  <si>
    <t xml:space="preserve">Unresolved</t>
  </si>
  <si>
    <t xml:space="preserve">Agrochemical (generic crop-protection) exporter.</t>
  </si>
  <si>
    <t xml:space="preserve">TWO unresolved conflicts: (1) 3yr avg ROE 13.6% (Screener) vs 24.2% (ML screen), explainable by down-cycle-vs-recovery-year averaging; (2) FY26 revenue/profit figures disagree materially across sources (Rs.5,268cr/Rs.681cr vs Rs.4,379cr/Rs.304cr for same fiscal year, ~20-120% apart) - UNRESOLVED. Europe ~45% revenue concentration; 166-day receivables; pesticide-registration regulatory risk.</t>
  </si>
  <si>
    <t xml:space="preserve">Not usable until conflicts resolved.</t>
  </si>
  <si>
    <t xml:space="preserve">Confirm FY26 revenue/profit directly against Sharda's BSE filing before any scoring.</t>
  </si>
  <si>
    <t xml:space="preserve">Screener vs ML screen (conflicting); Data Confidence gate not passed.</t>
  </si>
  <si>
    <t xml:space="preserve">Sterlite Technologies</t>
  </si>
  <si>
    <t xml:space="preserve">STLTECH.NS</t>
  </si>
  <si>
    <t xml:space="preserve">Garware Hi-Tech Films</t>
  </si>
  <si>
    <t xml:space="preserve">GRWRHITECH.NS</t>
  </si>
  <si>
    <t xml:space="preserve">Specialty Chemicals</t>
  </si>
  <si>
    <t xml:space="preserve">Cupid</t>
  </si>
  <si>
    <t xml:space="preserve">CUPID.NS</t>
  </si>
  <si>
    <t xml:space="preserve">Household &amp; Personal Products</t>
  </si>
  <si>
    <t xml:space="preserve">Rubicon Research</t>
  </si>
  <si>
    <t xml:space="preserve">RUBICON.NS</t>
  </si>
  <si>
    <t xml:space="preserve">Drug Manufacturers - General</t>
  </si>
  <si>
    <t xml:space="preserve">Sun Pharma Adv. Research</t>
  </si>
  <si>
    <t xml:space="preserve">SPARC.NS</t>
  </si>
  <si>
    <t xml:space="preserve">Thangamayil Jewellery</t>
  </si>
  <si>
    <t xml:space="preserve">THANGAMAYL.NS</t>
  </si>
  <si>
    <t xml:space="preserve">Park Medi World</t>
  </si>
  <si>
    <t xml:space="preserve">PARKHOSPS.NS</t>
  </si>
  <si>
    <t xml:space="preserve">Medical Care Facilities</t>
  </si>
  <si>
    <t xml:space="preserve">Paras Defence</t>
  </si>
  <si>
    <t xml:space="preserve">PARAS.NS</t>
  </si>
  <si>
    <t xml:space="preserve">Aerospace &amp; Defense</t>
  </si>
  <si>
    <t xml:space="preserve">Sansera Engineering</t>
  </si>
  <si>
    <t xml:space="preserve">SANSERA.NS</t>
  </si>
  <si>
    <t xml:space="preserve">Auto Parts</t>
  </si>
  <si>
    <t xml:space="preserve">Atlanta Electricals</t>
  </si>
  <si>
    <t xml:space="preserve">ATLANTAELE.NS</t>
  </si>
  <si>
    <t xml:space="preserve">Shilpa Medicare</t>
  </si>
  <si>
    <t xml:space="preserve">SHILPAMED.NS</t>
  </si>
  <si>
    <t xml:space="preserve">Balaji Amines</t>
  </si>
  <si>
    <t xml:space="preserve">BALAMINES.NS</t>
  </si>
  <si>
    <t xml:space="preserve">Astra Microwave Products</t>
  </si>
  <si>
    <t xml:space="preserve">ASTRAMICRO.NS</t>
  </si>
  <si>
    <t xml:space="preserve">Quarter</t>
  </si>
  <si>
    <t xml:space="preserve">Revenue</t>
  </si>
  <si>
    <t xml:space="preserve">EBITDA</t>
  </si>
  <si>
    <t xml:space="preserve">EBITDA Margin %</t>
  </si>
  <si>
    <t xml:space="preserve">Net Profit</t>
  </si>
  <si>
    <t xml:space="preserve">EPS</t>
  </si>
  <si>
    <t xml:space="preserve">Operating Cash Flow</t>
  </si>
  <si>
    <t xml:space="preserve">Free Cash Flow</t>
  </si>
  <si>
    <t xml:space="preserve">ROA %</t>
  </si>
  <si>
    <t xml:space="preserve">Interest Coverage</t>
  </si>
  <si>
    <t xml:space="preserve">Current Ratio</t>
  </si>
  <si>
    <t xml:space="preserve">Dividend Yield %</t>
  </si>
  <si>
    <t xml:space="preserve">Notes</t>
  </si>
  <si>
    <t xml:space="preserve">FY26</t>
  </si>
  <si>
    <t xml:space="preserve">Verified 2026-07: FY26 revenue growth 23%, ROCE 28.4%, EBITDA margin +~590bps. Q4 gross margin 75% vs 61.7% YoY - specialty/complex-generics mix shift, not one-off pricing. Net cash ~₹4,600cr. Source: company FY26 results coverage, this session.</t>
  </si>
  <si>
    <t xml:space="preserve">Populate from annual report</t>
  </si>
  <si>
    <t xml:space="preserve">FY26 TTM</t>
  </si>
  <si>
    <t xml:space="preserve">Source: Screener.in consolidated, Jul-2026. TTM figures; FY26 annual not yet fully reported at fetch time.</t>
  </si>
  <si>
    <t xml:space="preserve">Source: SBI FY26 results coverage (Groww), GuruFocus, Jul-2026. Net profit +12.88% YoY. Revenue figure needs reconciliation - screener meta showed Rs.5,14,933cr which may be a different period/consolidated basis than the Rs.80,032cr profit figure.</t>
  </si>
  <si>
    <t xml:space="preserve">Source: Screener.in consolidated, Jul-2026. 5yr sales growth only 8.46% (poor per screener). Payout ratio 112% exceeds EPS.</t>
  </si>
  <si>
    <t xml:space="preserve">Source: Tijori Finance, Jun-2026. D/E elevated due to consolidated NBFC/financial-services arm - not a clean EPC-only leverage read. Net debt rising Rs.84,314cr (Mar-25) -&gt; Rs.1,11,926cr (Sep-25).</t>
  </si>
  <si>
    <t xml:space="preserve">Source: Screener.in, MarketsMojo, Jul-2026. Revenue collapsed 88-90% YoY in multiple FY26 quarters; net loss vs FY25 profit of Rs.446cr. Debt/EBITDA ~7.94x.</t>
  </si>
  <si>
    <t xml:space="preserve">Source: Tickertape/MarketsMojo, Jul-2026. Interest coverage thin (~1.15x). ROE/ROCE well below IOS 20% threshold despite strong topline growth.</t>
  </si>
  <si>
    <t xml:space="preserve">Source: Screener.in/MoneyWorks4Me, Jul-2026. Revenue CAGR near-flat (0.65-2.86%). ROE well below IOS threshold.</t>
  </si>
  <si>
    <t xml:space="preserve">Mahindra Holidays</t>
  </si>
  <si>
    <t xml:space="preserve">Q4 FY26</t>
  </si>
  <si>
    <t xml:space="preserve">Source: Groww/Tijori, Jul-2026. Q4 net profit fell 43.1% YoY on Mauritius impairment (~Rs.234cr) and soft EU (Holiday Club) performance. Altman Z-score only 0.83 - weakest of 8 peers.</t>
  </si>
  <si>
    <t xml:space="preserve">Source: MarketsMojo/GuruFocus, Jul-2026. PFC-REC merger approved 28-Jun-2026 (88 PFC : 100 REC swap ratio) - pending integration, revisit all figures post-merger.</t>
  </si>
  <si>
    <t xml:space="preserve">Source: Tickertape/Screener, Jul-2026. FY26 sales +4.77% YoY; note Q4 FY26 NP fell 73% YoY on exceptional items - use full-year figure for trend, not single quarter.</t>
  </si>
  <si>
    <t xml:space="preserve">Source: Screener.in, Jul-2026. Near debt-free; revenue CAGR ~15.6% vs ~13.4% industry median. Valuation rich (P/B ~8-9.6x).</t>
  </si>
  <si>
    <t xml:space="preserve">Source: ICICI Direct/company guidance, Jul-2026. GNPA improved to 3.17% (60dpd). Q4 FY26 alone recovered to ROA 4.4%/ROE 17.8% - FY27 guidance ROE 16-20%. Trailing 3yr ROE only 13.8% (below threshold) - needs 1-2 more quarters to confirm recovery.</t>
  </si>
  <si>
    <t xml:space="preserve">Source: Screener.in/GuruFocus, Jul-2026. Net profit figure per screener meta (TTM basis) differs from FY25 Rs.18,553cr cited elsewhere - reconcile against BSE filing before using precisely. GNPA improved toward 4-5% post-2018-20 NPA cycle.</t>
  </si>
  <si>
    <t xml:space="preserve">Decision Date</t>
  </si>
  <si>
    <t xml:space="preserve">Analyst</t>
  </si>
  <si>
    <t xml:space="preserve">Variant Perception</t>
  </si>
  <si>
    <t xml:space="preserve">Supporting Evidence</t>
  </si>
  <si>
    <t xml:space="preserve">Disconfirming Evidence</t>
  </si>
  <si>
    <t xml:space="preserve">Exit Conditions</t>
  </si>
  <si>
    <t xml:space="preserve">Review Date</t>
  </si>
  <si>
    <t xml:space="preserve">Outcome</t>
  </si>
  <si>
    <t xml:space="preserve">Lessons Learned</t>
  </si>
  <si>
    <t xml:space="preserve">CAMS</t>
  </si>
  <si>
    <t xml:space="preserve">User</t>
  </si>
  <si>
    <t xml:space="preserve">Dominant RTA with strong cash generation</t>
  </si>
  <si>
    <t xml:space="preserve">Market underestimates durability</t>
  </si>
  <si>
    <t xml:space="preserve">High market share</t>
  </si>
  <si>
    <t xml:space="preserve">Loss of market share</t>
  </si>
  <si>
    <t xml:space="preserve">Regulation</t>
  </si>
  <si>
    <t xml:space="preserve">IOS score deterioration</t>
  </si>
  <si>
    <t xml:space="preserve">Buy Date</t>
  </si>
  <si>
    <t xml:space="preserve">Quantity</t>
  </si>
  <si>
    <t xml:space="preserve">Investment Amount</t>
  </si>
  <si>
    <t xml:space="preserve">Current Value</t>
  </si>
  <si>
    <t xml:space="preserve">Unrealized P/L</t>
  </si>
  <si>
    <t xml:space="preserve">Return %</t>
  </si>
  <si>
    <t xml:space="preserve">Actual Allocation %</t>
  </si>
  <si>
    <t xml:space="preserve">Rebalance Required</t>
  </si>
  <si>
    <t xml:space="preserve">Computer Age Management Services</t>
  </si>
  <si>
    <t xml:space="preserve">TCS</t>
  </si>
  <si>
    <t xml:space="preserve">LUPIN</t>
  </si>
  <si>
    <t xml:space="preserve">NESCO</t>
  </si>
  <si>
    <t xml:space="preserve">Event Type</t>
  </si>
  <si>
    <t xml:space="preserve">Announcement Date</t>
  </si>
  <si>
    <t xml:space="preserve">Severity</t>
  </si>
  <si>
    <t xml:space="preserve">Description</t>
  </si>
  <si>
    <t xml:space="preserve">Impact on IOS</t>
  </si>
  <si>
    <t xml:space="preserve">Review Required</t>
  </si>
  <si>
    <t xml:space="preserve">Resolution Date</t>
  </si>
  <si>
    <t xml:space="preserve">Comments</t>
  </si>
  <si>
    <t xml:space="preserve">Acquisition</t>
  </si>
  <si>
    <t xml:space="preserve">Jun-2026</t>
  </si>
  <si>
    <t xml:space="preserve">High</t>
  </si>
  <si>
    <t xml:space="preserve">Nagarro acquisition</t>
  </si>
  <si>
    <t xml:space="preserve">Investment score review</t>
  </si>
  <si>
    <t xml:space="preserve">Yes</t>
  </si>
  <si>
    <t xml:space="preserve">Open</t>
  </si>
  <si>
    <t xml:space="preserve">Monitor leverage</t>
  </si>
  <si>
    <t xml:space="preserve">Merger</t>
  </si>
  <si>
    <t xml:space="preserve">Board approved merger by absorption of REC into PFC (swap ratio 88 PFC : 100 REC)</t>
  </si>
  <si>
    <t xml:space="preserve">Do not score until combined-entity balance sheet and dilution are clear</t>
  </si>
  <si>
    <t xml:space="preserve">Confidence (±)</t>
  </si>
  <si>
    <t xml:space="preserve">Changes Since Last Review</t>
  </si>
  <si>
    <t xml:space="preserve">Promotion/Demotion Decision</t>
  </si>
  <si>
    <t xml:space="preserve">Reviewer</t>
  </si>
  <si>
    <t xml:space="preserve">Q2 FY27</t>
  </si>
  <si>
    <t xml:space="preserve">±7</t>
  </si>
  <si>
    <t xml:space="preserve">Event overlay active</t>
  </si>
  <si>
    <t xml:space="preserve">Hold Bench</t>
  </si>
  <si>
    <t xml:space="preserve">Benchmark</t>
  </si>
  <si>
    <t xml:space="preserve">Difference</t>
  </si>
  <si>
    <t xml:space="preserve">CAGR</t>
  </si>
  <si>
    <t xml:space="preserve">Nifty 50</t>
  </si>
  <si>
    <t xml:space="preserve">Sharpe Ratio</t>
  </si>
  <si>
    <t xml:space="preserve">Sortino Ratio</t>
  </si>
  <si>
    <t xml:space="preserve">Max Drawdown</t>
  </si>
  <si>
    <t xml:space="preserve">Alpha</t>
  </si>
  <si>
    <t xml:space="preserve">Promotion Success Rate</t>
  </si>
  <si>
    <t xml:space="preserve">Demotion Success Rate</t>
  </si>
  <si>
    <t xml:space="preserve">Rank</t>
  </si>
  <si>
    <t xml:space="preserve">Gap Type</t>
  </si>
  <si>
    <t xml:space="preserve">Due Date</t>
  </si>
  <si>
    <t xml:space="preserve">Resolvable</t>
  </si>
  <si>
    <t xml:space="preserve">Q1 FY27 underwriting results - combined ratio persistence</t>
  </si>
  <si>
    <t xml:space="preserve">Next earnings</t>
  </si>
  <si>
    <t xml:space="preserve">Also confirm solvency ratio (214% claimed, unverified) directly against IRDAI filing</t>
  </si>
  <si>
    <t xml:space="preserve">First 1-2 post-Encora quarters - margin, debt paydown, EPS accretion</t>
  </si>
  <si>
    <t xml:space="preserve">Do not promote over TCS until 2 consecutive Thesis Health Scores &gt;80</t>
  </si>
  <si>
    <t xml:space="preserve">Data Confidence (blocking)</t>
  </si>
  <si>
    <t xml:space="preserve">Reconcile FY26 revenue/PAT figures against BSE filing directly</t>
  </si>
  <si>
    <t xml:space="preserve">Blocked</t>
  </si>
  <si>
    <t xml:space="preserve">Two unresolved data conflicts (ROE basis + FY26 headline financials) - do not proceed to qualitative review until resolved</t>
  </si>
  <si>
    <t xml:space="preserve">Mixed (Structural + Resolvable)</t>
  </si>
  <si>
    <t xml:space="preserve">FCF turning positive post-capex cycle</t>
  </si>
  <si>
    <t xml:space="preserve">Policy dependency (ALMM/PLI) is permanent - do not let a good FCF quarter erase that discount</t>
  </si>
  <si>
    <t xml:space="preserve">Resolve ROCE conflict (24.93% vs 15.37%) against primary source</t>
  </si>
  <si>
    <t xml:space="preserve">Before scoring</t>
  </si>
  <si>
    <t xml:space="preserve">Revenue growth also decelerating (-0.1% FY25 vs 5yr CAGR 28.2%) - check if trend continues</t>
  </si>
  <si>
    <t xml:space="preserve">Structural (currently Fail)</t>
  </si>
  <si>
    <t xml:space="preserve">ROE/ROCE improvement needed, not just narrative</t>
  </si>
  <si>
    <t xml:space="preserve">Low priority</t>
  </si>
  <si>
    <t xml:space="preserve">ROE ~9-11%, ROCE ~12.4% - well below threshold; re-check only if fundamentals materially change</t>
  </si>
  <si>
    <t xml:space="preserve">Structural + Data Confidence</t>
  </si>
  <si>
    <t xml:space="preserve">ROCE-decline explanation; profit-quality (depreciation policy, receivables) check</t>
  </si>
  <si>
    <t xml:space="preserve">Monitor</t>
  </si>
  <si>
    <t xml:space="preserve">Theme overlaps with TCS (IT) - would need explicit exception if ever promoted</t>
  </si>
  <si>
    <t xml:space="preserve">FY27 government contract renewal confirmation</t>
  </si>
  <si>
    <t xml:space="preserve">Management self-disclosed renewal uncertainty and guided growth deceleration</t>
  </si>
  <si>
    <t xml:space="preserve">Resolve ROCE conflict (20-21% vs 37.37%) and D/E conflict (0 vs 1.56)</t>
  </si>
  <si>
    <t xml:space="preserve">Also check Piotroski F-Score of 2 (Below Average) despite strong headline ROE - needs explanation</t>
  </si>
  <si>
    <t xml:space="preserve">Working capital trend and FCF (currently negative)</t>
  </si>
  <si>
    <t xml:space="preserve">Promoter holding declining -3.5% over 3yrs - watch for continuation</t>
  </si>
  <si>
    <t xml:space="preserve">Structural (Corporate Action)</t>
  </si>
  <si>
    <t xml:space="preserve">PFC-REC merger integration - combined balance sheet, dilution, ROE impact</t>
  </si>
  <si>
    <t xml:space="preserve">Merger board-approved 28-Jun-2026; do not treat standalone PFC metrics as forward-representative</t>
  </si>
  <si>
    <t xml:space="preserve">Confirm ROE/ROA recovery holds for 2 more quarters vs FY27 guidance (ROE 16-20%)</t>
  </si>
  <si>
    <t xml:space="preserve">Q4 FY26 already shows sharp recovery (ROE 17.8%) after Karnataka-driven MFI stress</t>
  </si>
  <si>
    <t xml:space="preserve">Segment-level D/E excluding financial-services arm to get a clean EPC leverage read</t>
  </si>
  <si>
    <t xml:space="preserve">Consolidated D/E of 1.12-1.41x is not comparable to pure-EPC peers without segmental split</t>
  </si>
  <si>
    <t xml:space="preserve">Resolve Altman Z-score of 0.83 (weakest of peers) and ROCE-decline trend</t>
  </si>
  <si>
    <t xml:space="preserve">Q4 FY26 profit fell 43.1% YoY on Mauritius impairment - check if one-off or recurring</t>
  </si>
  <si>
    <t xml:space="preserve">Understand NCLT insolvency admission / NCLAT set-aside (29-Jun-2026) and reconcile D/E (1.81x vs implied lower post FY25 debt paydown)</t>
  </si>
  <si>
    <t xml:space="preserve">Do not treat NCLAT set-aside as risk-resolved; understand root cause before any scoring</t>
  </si>
  <si>
    <t xml:space="preserve">Capital Allocation Score</t>
  </si>
  <si>
    <t xml:space="preserve">Management Score</t>
  </si>
  <si>
    <t xml:space="preserve">Moat Score</t>
  </si>
  <si>
    <t xml:space="preserve">Growth Score</t>
  </si>
  <si>
    <t xml:space="preserve">Risk Score</t>
  </si>
  <si>
    <t xml:space="preserve">Archived manual/heuristic scores drafted early in this project, before the ios_v4 automated engine existed. Superseded by Business Score, Investment Score, and Risk Score (Engine) in Master Universe. Kept here for historical reference only - do not use for current decisions.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</si>
</sst>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"/>
    <numFmt numFmtId="167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sz val="11"/>
      <color rgb="FF006100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0.3999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95B3D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4E7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15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0" t="s">
        <v>2</v>
      </c>
      <c r="B2" s="0" t="s">
        <v>3</v>
      </c>
    </row>
    <row r="3" customFormat="false" ht="15" hidden="false" customHeight="true" outlineLevel="0" collapsed="false">
      <c r="A3" s="0" t="s">
        <v>4</v>
      </c>
      <c r="B3" s="0" t="s">
        <v>5</v>
      </c>
    </row>
    <row r="4" customFormat="false" ht="15" hidden="false" customHeight="true" outlineLevel="0" collapsed="false">
      <c r="A4" s="0" t="s">
        <v>6</v>
      </c>
      <c r="B4" s="0" t="n">
        <v>35</v>
      </c>
    </row>
    <row r="5" customFormat="false" ht="15" hidden="false" customHeight="true" outlineLevel="0" collapsed="false">
      <c r="A5" s="0" t="s">
        <v>7</v>
      </c>
      <c r="B5" s="0" t="n">
        <v>4</v>
      </c>
    </row>
    <row r="6" customFormat="false" ht="15" hidden="false" customHeight="true" outlineLevel="0" collapsed="false">
      <c r="A6" s="0" t="s">
        <v>8</v>
      </c>
      <c r="B6" s="0" t="n">
        <v>1</v>
      </c>
    </row>
    <row r="7" customFormat="false" ht="15" hidden="false" customHeight="true" outlineLevel="0" collapsed="false">
      <c r="A7" s="0" t="s">
        <v>9</v>
      </c>
      <c r="B7" s="0" t="n">
        <v>26</v>
      </c>
    </row>
    <row r="8" customFormat="false" ht="15" hidden="false" customHeight="true" outlineLevel="0" collapsed="false">
      <c r="A8" s="0" t="s">
        <v>10</v>
      </c>
      <c r="B8" s="0" t="n">
        <v>4</v>
      </c>
    </row>
    <row r="9" customFormat="false" ht="15" hidden="false" customHeight="true" outlineLevel="0" collapsed="false">
      <c r="A9" s="0" t="s">
        <v>11</v>
      </c>
      <c r="B9" s="0" t="s">
        <v>12</v>
      </c>
    </row>
    <row r="10" customFormat="false" ht="15" hidden="false" customHeight="true" outlineLevel="0" collapsed="false">
      <c r="A10" s="0" t="s">
        <v>13</v>
      </c>
      <c r="B10" s="0" t="s">
        <v>14</v>
      </c>
    </row>
    <row r="11" customFormat="false" ht="15" hidden="false" customHeight="true" outlineLevel="0" collapsed="false">
      <c r="A11" s="2" t="s">
        <v>15</v>
      </c>
      <c r="B11" s="3" t="n">
        <v>70000</v>
      </c>
    </row>
    <row r="12" customFormat="false" ht="15" hidden="false" customHeight="true" outlineLevel="0" collapsed="false">
      <c r="A12" s="2" t="s">
        <v>16</v>
      </c>
      <c r="B12" s="3" t="n">
        <v>25</v>
      </c>
    </row>
    <row r="13" customFormat="false" ht="15" hidden="false" customHeight="true" outlineLevel="0" collapsed="false">
      <c r="A13" s="2" t="s">
        <v>17</v>
      </c>
      <c r="B13" s="3" t="n">
        <v>8</v>
      </c>
    </row>
    <row r="14" customFormat="false" ht="15" hidden="false" customHeight="true" outlineLevel="0" collapsed="false">
      <c r="A14" s="2" t="s">
        <v>18</v>
      </c>
      <c r="B14" s="3" t="n">
        <v>13</v>
      </c>
    </row>
    <row r="15" customFormat="false" ht="15" hidden="false" customHeight="true" outlineLevel="0" collapsed="false">
      <c r="A15" s="2" t="s">
        <v>19</v>
      </c>
      <c r="B15" s="3" t="n">
        <v>6.7</v>
      </c>
    </row>
    <row r="16" customFormat="false" ht="15" hidden="false" customHeight="true" outlineLevel="0" collapsed="false">
      <c r="A16" s="2" t="s">
        <v>20</v>
      </c>
      <c r="B16" s="4" t="s">
        <v>21</v>
      </c>
    </row>
    <row r="17" customFormat="false" ht="15" hidden="false" customHeight="true" outlineLevel="0" collapsed="false">
      <c r="A17" s="2" t="s">
        <v>22</v>
      </c>
      <c r="B17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T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" activePane="bottomLeft" state="frozen"/>
      <selection pane="topLeft" activeCell="A1" activeCellId="0" sqref="A1"/>
      <selection pane="bottomLeft" activeCell="A4" activeCellId="0" sqref="A4"/>
    </sheetView>
  </sheetViews>
  <sheetFormatPr defaultColWidth="8.71484375" defaultRowHeight="15" zeroHeight="false" outlineLevelRow="0" outlineLevelCol="0"/>
  <cols>
    <col collapsed="false" customWidth="true" hidden="false" outlineLevel="0" max="1" min="1" style="5" width="15"/>
    <col collapsed="false" customWidth="true" hidden="false" outlineLevel="0" max="2" min="2" style="5" width="53.71"/>
    <col collapsed="false" customWidth="true" hidden="false" outlineLevel="0" max="3" min="3" style="5" width="15"/>
    <col collapsed="false" customWidth="true" hidden="false" outlineLevel="0" max="4" min="4" style="5" width="25.85"/>
    <col collapsed="false" customWidth="true" hidden="false" outlineLevel="0" max="7" min="5" style="5" width="15"/>
    <col collapsed="false" customWidth="true" hidden="false" outlineLevel="0" max="8" min="8" style="5" width="16"/>
    <col collapsed="false" customWidth="true" hidden="false" outlineLevel="0" max="9" min="9" style="5" width="17"/>
    <col collapsed="false" customWidth="true" hidden="false" outlineLevel="0" max="10" min="10" style="5" width="19"/>
    <col collapsed="false" customWidth="true" hidden="false" outlineLevel="0" max="11" min="11" style="5" width="17"/>
    <col collapsed="false" customWidth="true" hidden="false" outlineLevel="0" max="12" min="12" style="5" width="16"/>
    <col collapsed="false" customWidth="true" hidden="false" outlineLevel="0" max="13" min="13" style="5" width="25"/>
    <col collapsed="false" customWidth="true" hidden="false" outlineLevel="0" max="14" min="14" style="5" width="18"/>
    <col collapsed="false" customWidth="true" hidden="true" outlineLevel="0" max="15" min="15" style="5" width="255.71"/>
    <col collapsed="false" customWidth="true" hidden="false" outlineLevel="0" max="21" min="16" style="5" width="15"/>
    <col collapsed="false" customWidth="true" hidden="false" outlineLevel="0" max="22" min="22" style="5" width="19"/>
    <col collapsed="false" customWidth="true" hidden="false" outlineLevel="0" max="23" min="23" style="5" width="15"/>
    <col collapsed="false" customWidth="true" hidden="false" outlineLevel="0" max="24" min="24" style="5" width="27"/>
    <col collapsed="false" customWidth="true" hidden="false" outlineLevel="0" max="25" min="25" style="5" width="19"/>
    <col collapsed="false" customWidth="true" hidden="true" outlineLevel="0" max="27" min="26" style="5" width="15"/>
    <col collapsed="false" customWidth="true" hidden="false" outlineLevel="0" max="28" min="28" style="5" width="16"/>
    <col collapsed="false" customWidth="true" hidden="false" outlineLevel="0" max="29" min="29" style="5" width="18"/>
    <col collapsed="false" customWidth="true" hidden="false" outlineLevel="0" max="30" min="30" style="5" width="21"/>
    <col collapsed="false" customWidth="true" hidden="false" outlineLevel="0" max="31" min="31" style="5" width="22"/>
    <col collapsed="false" customWidth="true" hidden="false" outlineLevel="0" max="32" min="32" style="5" width="20"/>
    <col collapsed="false" customWidth="true" hidden="false" outlineLevel="0" max="34" min="33" style="5" width="15"/>
    <col collapsed="false" customWidth="true" hidden="false" outlineLevel="0" max="35" min="35" style="5" width="18"/>
    <col collapsed="false" customWidth="true" hidden="false" outlineLevel="0" max="36" min="36" style="5" width="18.29"/>
    <col collapsed="false" customWidth="true" hidden="false" outlineLevel="0" max="37" min="37" style="5" width="17"/>
    <col collapsed="false" customWidth="true" hidden="true" outlineLevel="0" max="38" min="38" style="5" width="70.71"/>
    <col collapsed="false" customWidth="true" hidden="true" outlineLevel="0" max="39" min="39" style="5" width="125"/>
    <col collapsed="false" customWidth="true" hidden="true" outlineLevel="0" max="40" min="40" style="5" width="255.71"/>
    <col collapsed="false" customWidth="true" hidden="true" outlineLevel="0" max="41" min="41" style="5" width="133.29"/>
    <col collapsed="false" customWidth="true" hidden="true" outlineLevel="0" max="42" min="42" style="5" width="113.71"/>
    <col collapsed="false" customWidth="true" hidden="true" outlineLevel="0" max="43" min="43" style="5" width="76.71"/>
    <col collapsed="false" customWidth="true" hidden="false" outlineLevel="0" max="44" min="44" style="5" width="21.85"/>
    <col collapsed="false" customWidth="true" hidden="false" outlineLevel="0" max="45" min="45" style="5" width="16"/>
    <col collapsed="false" customWidth="true" hidden="false" outlineLevel="0" max="46" min="46" style="5" width="12"/>
    <col collapsed="false" customWidth="false" hidden="false" outlineLevel="0" max="54" min="47" style="5" width="8.71"/>
    <col collapsed="false" customWidth="true" hidden="false" outlineLevel="0" max="55" min="55" style="5" width="50.86"/>
    <col collapsed="false" customWidth="true" hidden="false" outlineLevel="0" max="56" min="56" style="5" width="31.42"/>
    <col collapsed="false" customWidth="true" hidden="true" outlineLevel="0" max="58" min="57" style="5" width="13"/>
    <col collapsed="false" customWidth="true" hidden="false" outlineLevel="0" max="59" min="59" style="5" width="23"/>
    <col collapsed="false" customWidth="true" hidden="false" outlineLevel="0" max="60" min="60" style="5" width="43.86"/>
    <col collapsed="false" customWidth="false" hidden="false" outlineLevel="0" max="16384" min="61" style="5" width="8.71"/>
  </cols>
  <sheetData>
    <row r="1" customFormat="false" ht="15" hidden="false" customHeight="true" outlineLevel="0" collapsed="false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49</v>
      </c>
      <c r="AA1" s="6" t="s">
        <v>50</v>
      </c>
      <c r="AB1" s="6" t="s">
        <v>51</v>
      </c>
      <c r="AC1" s="6" t="s">
        <v>52</v>
      </c>
      <c r="AD1" s="6" t="s">
        <v>53</v>
      </c>
      <c r="AE1" s="6" t="s">
        <v>54</v>
      </c>
      <c r="AF1" s="6" t="s">
        <v>55</v>
      </c>
      <c r="AG1" s="6" t="s">
        <v>56</v>
      </c>
      <c r="AH1" s="6" t="s">
        <v>57</v>
      </c>
      <c r="AI1" s="6" t="s">
        <v>58</v>
      </c>
      <c r="AJ1" s="6" t="s">
        <v>59</v>
      </c>
      <c r="AK1" s="6" t="s">
        <v>60</v>
      </c>
      <c r="AL1" s="6" t="s">
        <v>61</v>
      </c>
      <c r="AM1" s="7" t="s">
        <v>62</v>
      </c>
      <c r="AN1" s="7" t="s">
        <v>63</v>
      </c>
      <c r="AO1" s="7" t="s">
        <v>64</v>
      </c>
      <c r="AP1" s="7" t="s">
        <v>65</v>
      </c>
      <c r="AQ1" s="7" t="s">
        <v>66</v>
      </c>
      <c r="AR1" s="8" t="s">
        <v>67</v>
      </c>
      <c r="AS1" s="8" t="s">
        <v>68</v>
      </c>
      <c r="AT1" s="7" t="s">
        <v>69</v>
      </c>
      <c r="AU1" s="7" t="s">
        <v>70</v>
      </c>
      <c r="AV1" s="7" t="s">
        <v>71</v>
      </c>
      <c r="AW1" s="7" t="s">
        <v>72</v>
      </c>
      <c r="AX1" s="7" t="s">
        <v>73</v>
      </c>
      <c r="AY1" s="7" t="s">
        <v>74</v>
      </c>
      <c r="AZ1" s="7" t="s">
        <v>75</v>
      </c>
      <c r="BA1" s="7" t="s">
        <v>76</v>
      </c>
      <c r="BB1" s="7" t="s">
        <v>77</v>
      </c>
      <c r="BC1" s="7" t="s">
        <v>78</v>
      </c>
      <c r="BD1" s="7" t="s">
        <v>79</v>
      </c>
      <c r="BE1" s="9"/>
      <c r="BF1" s="9"/>
      <c r="BG1" s="9" t="s">
        <v>80</v>
      </c>
      <c r="BH1" s="9" t="s">
        <v>81</v>
      </c>
      <c r="BI1" s="5" t="s">
        <v>82</v>
      </c>
      <c r="BJ1" s="5" t="s">
        <v>83</v>
      </c>
      <c r="BK1" s="5" t="s">
        <v>84</v>
      </c>
      <c r="BL1" s="5" t="s">
        <v>85</v>
      </c>
      <c r="BM1" s="5" t="s">
        <v>86</v>
      </c>
      <c r="BN1" s="5" t="s">
        <v>87</v>
      </c>
      <c r="BO1" s="5" t="s">
        <v>88</v>
      </c>
      <c r="BP1" s="5" t="s">
        <v>89</v>
      </c>
      <c r="BQ1" s="5" t="s">
        <v>90</v>
      </c>
      <c r="BR1" s="5" t="s">
        <v>91</v>
      </c>
      <c r="BS1" s="5" t="s">
        <v>92</v>
      </c>
      <c r="BT1" s="5" t="s">
        <v>93</v>
      </c>
    </row>
    <row r="2" customFormat="false" ht="15" hidden="true" customHeight="true" outlineLevel="0" collapsed="false">
      <c r="A2" s="10" t="n">
        <v>1</v>
      </c>
      <c r="B2" s="10" t="s">
        <v>94</v>
      </c>
      <c r="C2" s="10" t="s">
        <v>95</v>
      </c>
      <c r="D2" s="10" t="s">
        <v>96</v>
      </c>
      <c r="E2" s="10" t="s">
        <v>97</v>
      </c>
      <c r="F2" s="10" t="n">
        <v>195994877952</v>
      </c>
      <c r="G2" s="10" t="s">
        <v>98</v>
      </c>
      <c r="H2" s="10" t="s">
        <v>99</v>
      </c>
      <c r="I2" s="10" t="n">
        <v>97</v>
      </c>
      <c r="J2" s="10" t="n">
        <v>47.7139235164176</v>
      </c>
      <c r="K2" s="10" t="n">
        <v>97</v>
      </c>
      <c r="L2" s="10" t="n">
        <v>100</v>
      </c>
      <c r="M2" s="10" t="s">
        <v>100</v>
      </c>
      <c r="N2" s="10" t="s">
        <v>101</v>
      </c>
      <c r="O2" s="10" t="s">
        <v>102</v>
      </c>
      <c r="P2" s="10" t="n">
        <v>40</v>
      </c>
      <c r="Q2" s="10" t="n">
        <v>2</v>
      </c>
      <c r="R2" s="10" t="n">
        <v>1.85</v>
      </c>
      <c r="S2" s="10" t="n">
        <v>33.1735744562541</v>
      </c>
      <c r="T2" s="10" t="n">
        <v>36.0316993405672</v>
      </c>
      <c r="U2" s="10" t="n">
        <v>41.2056152802131</v>
      </c>
      <c r="V2" s="10" t="n">
        <v>0.05</v>
      </c>
      <c r="W2" s="10" t="n">
        <v>2.25790217550507</v>
      </c>
      <c r="X2" s="10" t="n">
        <v>16</v>
      </c>
      <c r="Y2" s="10" t="n">
        <v>20</v>
      </c>
      <c r="Z2" s="10" t="s">
        <v>103</v>
      </c>
      <c r="AA2" s="10" t="s">
        <v>104</v>
      </c>
      <c r="AB2" s="10" t="s">
        <v>105</v>
      </c>
      <c r="AC2" s="11" t="n">
        <v>417.346143468975</v>
      </c>
      <c r="AD2" s="12" t="n">
        <v>752</v>
      </c>
      <c r="AE2" s="11" t="n">
        <v>521.682679336218</v>
      </c>
      <c r="AF2" s="13" t="n">
        <v>-51.3659608183157</v>
      </c>
      <c r="AG2" s="10" t="n">
        <v>5.81828223724871</v>
      </c>
      <c r="AH2" s="14" t="n">
        <v>58182.8223724871</v>
      </c>
      <c r="AI2" s="10" t="s">
        <v>98</v>
      </c>
      <c r="AJ2" s="10" t="s">
        <v>106</v>
      </c>
      <c r="AK2" s="10" t="s">
        <v>107</v>
      </c>
      <c r="AL2" s="10" t="s">
        <v>108</v>
      </c>
      <c r="AM2" s="10" t="s">
        <v>109</v>
      </c>
      <c r="AN2" s="10" t="s">
        <v>110</v>
      </c>
      <c r="AO2" s="10" t="s">
        <v>111</v>
      </c>
      <c r="AP2" s="10" t="s">
        <v>112</v>
      </c>
      <c r="AQ2" s="10" t="s">
        <v>113</v>
      </c>
      <c r="AR2" s="13" t="n">
        <v>19.7799990180764</v>
      </c>
      <c r="AS2" s="13" t="n">
        <v>13.813758</v>
      </c>
      <c r="AT2" s="10" t="n">
        <v>26.3742507247835</v>
      </c>
      <c r="AU2" s="10" t="n">
        <v>1.67</v>
      </c>
      <c r="AV2" s="10" t="n">
        <v>0.133</v>
      </c>
      <c r="AW2" s="10" t="n">
        <v>39.92164</v>
      </c>
      <c r="AX2" s="10" t="n">
        <v>14.824655</v>
      </c>
      <c r="AY2" s="10" t="n">
        <v>100</v>
      </c>
      <c r="AZ2" s="10" t="n">
        <v>1.62077625480909</v>
      </c>
      <c r="BA2" s="10" t="n">
        <v>100</v>
      </c>
      <c r="BB2" s="10"/>
      <c r="BC2" s="10" t="s">
        <v>114</v>
      </c>
      <c r="BD2" s="10" t="s">
        <v>115</v>
      </c>
      <c r="BE2" s="10"/>
      <c r="BF2" s="10"/>
      <c r="BG2" s="10" t="s">
        <v>116</v>
      </c>
      <c r="BH2" s="10" t="s">
        <v>117</v>
      </c>
      <c r="BQ2" s="5" t="n">
        <v>1.62077625480909</v>
      </c>
      <c r="BT2" s="5" t="n">
        <v>1.62077625480909</v>
      </c>
    </row>
    <row r="3" customFormat="false" ht="15" hidden="false" customHeight="true" outlineLevel="0" collapsed="false">
      <c r="A3" s="10" t="n">
        <v>2</v>
      </c>
      <c r="B3" s="10" t="s">
        <v>118</v>
      </c>
      <c r="C3" s="10" t="s">
        <v>119</v>
      </c>
      <c r="D3" s="10" t="s">
        <v>96</v>
      </c>
      <c r="E3" s="10" t="s">
        <v>97</v>
      </c>
      <c r="F3" s="10" t="n">
        <v>7527793164288</v>
      </c>
      <c r="G3" s="10" t="s">
        <v>98</v>
      </c>
      <c r="H3" s="10" t="s">
        <v>99</v>
      </c>
      <c r="I3" s="10" t="n">
        <v>74</v>
      </c>
      <c r="J3" s="10" t="n">
        <v>100</v>
      </c>
      <c r="K3" s="10" t="n">
        <v>95</v>
      </c>
      <c r="L3" s="10" t="n">
        <v>100</v>
      </c>
      <c r="M3" s="10" t="s">
        <v>120</v>
      </c>
      <c r="N3" s="10" t="s">
        <v>101</v>
      </c>
      <c r="O3" s="10" t="s">
        <v>121</v>
      </c>
      <c r="P3" s="10" t="n">
        <v>18.6</v>
      </c>
      <c r="Q3" s="10" t="n">
        <v>2.33</v>
      </c>
      <c r="R3" s="10" t="n">
        <v>1.66</v>
      </c>
      <c r="S3" s="10" t="n">
        <v>11.3230777420668</v>
      </c>
      <c r="T3" s="10" t="n">
        <v>45.3640369475838</v>
      </c>
      <c r="U3" s="10" t="n">
        <v>55.1812149055641</v>
      </c>
      <c r="V3" s="10" t="n">
        <v>0.11</v>
      </c>
      <c r="W3" s="10" t="n">
        <v>6.31813096773783</v>
      </c>
      <c r="X3" s="10" t="n">
        <v>6</v>
      </c>
      <c r="Y3" s="10" t="n">
        <v>8</v>
      </c>
      <c r="Z3" s="10" t="s">
        <v>103</v>
      </c>
      <c r="AA3" s="10" t="s">
        <v>104</v>
      </c>
      <c r="AB3" s="10" t="s">
        <v>105</v>
      </c>
      <c r="AC3" s="11" t="n">
        <v>3352.40639722405</v>
      </c>
      <c r="AD3" s="12" t="n">
        <v>1983</v>
      </c>
      <c r="AE3" s="11" t="n">
        <v>4190.50799653006</v>
      </c>
      <c r="AF3" s="13" t="n">
        <v>50.3496950316564</v>
      </c>
      <c r="AG3" s="10" t="n">
        <v>12.1940972539111</v>
      </c>
      <c r="AH3" s="14" t="n">
        <v>121940.972539111</v>
      </c>
      <c r="AI3" s="10" t="s">
        <v>98</v>
      </c>
      <c r="AJ3" s="10" t="s">
        <v>122</v>
      </c>
      <c r="AK3" s="10" t="s">
        <v>107</v>
      </c>
      <c r="AL3" s="10" t="s">
        <v>108</v>
      </c>
      <c r="AM3" s="10" t="s">
        <v>123</v>
      </c>
      <c r="AN3" s="10" t="s">
        <v>124</v>
      </c>
      <c r="AO3" s="10" t="s">
        <v>125</v>
      </c>
      <c r="AP3" s="10" t="s">
        <v>126</v>
      </c>
      <c r="AQ3" s="10" t="s">
        <v>127</v>
      </c>
      <c r="AR3" s="13" t="n">
        <v>135.469999378841</v>
      </c>
      <c r="AS3" s="13" t="n">
        <v>25</v>
      </c>
      <c r="AT3" s="10" t="n">
        <v>30.9331069353367</v>
      </c>
      <c r="AU3" s="10" t="n">
        <v>6.03</v>
      </c>
      <c r="AV3" s="10" t="n">
        <v>0.241</v>
      </c>
      <c r="AW3" s="10" t="n">
        <v>15.358382</v>
      </c>
      <c r="AX3" s="10" t="n">
        <v>7.0195684</v>
      </c>
      <c r="AY3" s="10" t="n">
        <v>100</v>
      </c>
      <c r="AZ3" s="10" t="n">
        <v>3.46706244584155</v>
      </c>
      <c r="BA3" s="10" t="n">
        <v>100</v>
      </c>
      <c r="BB3" s="10"/>
      <c r="BC3" s="10" t="s">
        <v>114</v>
      </c>
      <c r="BD3" s="10" t="s">
        <v>128</v>
      </c>
      <c r="BE3" s="10"/>
      <c r="BF3" s="10"/>
      <c r="BG3" s="10" t="s">
        <v>129</v>
      </c>
      <c r="BH3" s="10" t="s">
        <v>117</v>
      </c>
      <c r="BQ3" s="5" t="n">
        <v>3.46706244584155</v>
      </c>
      <c r="BT3" s="5" t="n">
        <v>3.46706244584155</v>
      </c>
    </row>
    <row r="4" customFormat="false" ht="15" hidden="false" customHeight="true" outlineLevel="0" collapsed="false">
      <c r="A4" s="10" t="n">
        <v>3</v>
      </c>
      <c r="B4" s="10" t="s">
        <v>130</v>
      </c>
      <c r="C4" s="10" t="s">
        <v>131</v>
      </c>
      <c r="D4" s="10" t="s">
        <v>132</v>
      </c>
      <c r="E4" s="10" t="s">
        <v>133</v>
      </c>
      <c r="F4" s="10" t="n">
        <v>1144641814528</v>
      </c>
      <c r="G4" s="10" t="s">
        <v>98</v>
      </c>
      <c r="H4" s="10" t="s">
        <v>99</v>
      </c>
      <c r="I4" s="10" t="n">
        <v>94</v>
      </c>
      <c r="J4" s="10" t="n">
        <v>100</v>
      </c>
      <c r="K4" s="10" t="n">
        <v>94</v>
      </c>
      <c r="L4" s="10" t="n">
        <v>100</v>
      </c>
      <c r="M4" s="10" t="s">
        <v>134</v>
      </c>
      <c r="N4" s="10" t="s">
        <v>101</v>
      </c>
      <c r="O4" s="10" t="s">
        <v>135</v>
      </c>
      <c r="P4" s="10" t="n">
        <v>21</v>
      </c>
      <c r="Q4" s="10" t="n">
        <v>0.57</v>
      </c>
      <c r="R4" s="10" t="n">
        <v>0.56</v>
      </c>
      <c r="S4" s="10" t="n">
        <v>7.96767447098874</v>
      </c>
      <c r="T4" s="10" t="n">
        <v>23.6874355105433</v>
      </c>
      <c r="U4" s="10" t="n">
        <v>57.0964225532102</v>
      </c>
      <c r="V4" s="10" t="n">
        <v>0.29</v>
      </c>
      <c r="W4" s="10" t="n">
        <v>4.51338039678972</v>
      </c>
      <c r="X4" s="10" t="n">
        <v>23</v>
      </c>
      <c r="Y4" s="10" t="n">
        <v>37</v>
      </c>
      <c r="Z4" s="10" t="s">
        <v>103</v>
      </c>
      <c r="AA4" s="10" t="s">
        <v>104</v>
      </c>
      <c r="AB4" s="10" t="s">
        <v>105</v>
      </c>
      <c r="AC4" s="11" t="n">
        <v>2585.53447344442</v>
      </c>
      <c r="AD4" s="12" t="n">
        <v>2476</v>
      </c>
      <c r="AE4" s="11" t="n">
        <v>3231.91809180553</v>
      </c>
      <c r="AF4" s="13" t="n">
        <v>22.5382596685362</v>
      </c>
      <c r="AG4" s="10" t="n">
        <v>12.1940972539111</v>
      </c>
      <c r="AH4" s="14" t="n">
        <v>121940.972539111</v>
      </c>
      <c r="AI4" s="10" t="s">
        <v>98</v>
      </c>
      <c r="AJ4" s="10" t="s">
        <v>136</v>
      </c>
      <c r="AK4" s="10" t="s">
        <v>137</v>
      </c>
      <c r="AL4" s="10" t="s">
        <v>108</v>
      </c>
      <c r="AM4" s="10" t="s">
        <v>138</v>
      </c>
      <c r="AN4" s="10" t="s">
        <v>139</v>
      </c>
      <c r="AO4" s="10" t="s">
        <v>140</v>
      </c>
      <c r="AP4" s="10" t="s">
        <v>141</v>
      </c>
      <c r="AQ4" s="10" t="s">
        <v>142</v>
      </c>
      <c r="AR4" s="13" t="n">
        <v>116.564659979001</v>
      </c>
      <c r="AS4" s="13" t="n">
        <v>24.1328883</v>
      </c>
      <c r="AT4" s="10" t="n">
        <v>27.7275059351881</v>
      </c>
      <c r="AU4" s="10" t="n">
        <v>0.49</v>
      </c>
      <c r="AV4" s="10" t="n">
        <v>0.18</v>
      </c>
      <c r="AW4" s="10" t="n">
        <v>21.47735</v>
      </c>
      <c r="AX4" s="10" t="n">
        <v>5.095596</v>
      </c>
      <c r="AY4" s="10" t="n">
        <v>100</v>
      </c>
      <c r="AZ4" s="10" t="n">
        <v>9.79592719052427</v>
      </c>
      <c r="BA4" s="10" t="n">
        <v>100</v>
      </c>
      <c r="BB4" s="10"/>
      <c r="BC4" s="10" t="s">
        <v>114</v>
      </c>
      <c r="BD4" s="10" t="s">
        <v>128</v>
      </c>
      <c r="BE4" s="10"/>
      <c r="BF4" s="10"/>
      <c r="BG4" s="10" t="s">
        <v>129</v>
      </c>
      <c r="BH4" s="10" t="s">
        <v>117</v>
      </c>
      <c r="BJ4" s="5" t="s">
        <v>143</v>
      </c>
      <c r="BK4" s="5" t="s">
        <v>144</v>
      </c>
      <c r="BQ4" s="5" t="n">
        <v>9.79592719052427</v>
      </c>
      <c r="BT4" s="5" t="n">
        <v>9.79592719052427</v>
      </c>
    </row>
    <row r="5" customFormat="false" ht="15" hidden="true" customHeight="true" outlineLevel="0" collapsed="false">
      <c r="A5" s="10" t="n">
        <v>4</v>
      </c>
      <c r="B5" s="10" t="s">
        <v>145</v>
      </c>
      <c r="C5" s="10" t="s">
        <v>146</v>
      </c>
      <c r="D5" s="10" t="s">
        <v>147</v>
      </c>
      <c r="E5" s="10" t="s">
        <v>148</v>
      </c>
      <c r="F5" s="10" t="n">
        <v>77386178560</v>
      </c>
      <c r="G5" s="10" t="s">
        <v>98</v>
      </c>
      <c r="H5" s="10" t="s">
        <v>99</v>
      </c>
      <c r="I5" s="10" t="n">
        <v>45</v>
      </c>
      <c r="J5" s="10" t="n">
        <v>21.8198884001575</v>
      </c>
      <c r="K5" s="10" t="n">
        <v>92</v>
      </c>
      <c r="L5" s="10" t="n">
        <v>100</v>
      </c>
      <c r="M5" s="10" t="s">
        <v>149</v>
      </c>
      <c r="N5" s="10" t="s">
        <v>101</v>
      </c>
      <c r="O5" s="10" t="s">
        <v>150</v>
      </c>
      <c r="P5" s="10" t="n">
        <v>19.8</v>
      </c>
      <c r="Q5" s="10" t="n">
        <v>1.24</v>
      </c>
      <c r="R5" s="10" t="n">
        <v>1.2</v>
      </c>
      <c r="S5" s="10"/>
      <c r="T5" s="10" t="n">
        <v>13.7744374954112</v>
      </c>
      <c r="U5" s="10" t="n">
        <v>12.9445748330024</v>
      </c>
      <c r="V5" s="10" t="n">
        <v>0</v>
      </c>
      <c r="W5" s="10"/>
      <c r="X5" s="10" t="n">
        <v>13</v>
      </c>
      <c r="Y5" s="10" t="n">
        <v>16</v>
      </c>
      <c r="Z5" s="10" t="s">
        <v>103</v>
      </c>
      <c r="AA5" s="10" t="s">
        <v>104</v>
      </c>
      <c r="AB5" s="10" t="s">
        <v>105</v>
      </c>
      <c r="AC5" s="11" t="n">
        <v>320.963790993019</v>
      </c>
      <c r="AD5" s="12" t="n">
        <v>1149</v>
      </c>
      <c r="AE5" s="11" t="n">
        <v>401.204738741274</v>
      </c>
      <c r="AF5" s="13" t="n">
        <v>-173.750505401748</v>
      </c>
      <c r="AG5" s="10" t="n">
        <v>2.66073841221007</v>
      </c>
      <c r="AH5" s="14" t="n">
        <v>26607.3841221007</v>
      </c>
      <c r="AI5" s="10" t="s">
        <v>98</v>
      </c>
      <c r="AJ5" s="10" t="s">
        <v>151</v>
      </c>
      <c r="AK5" s="10" t="s">
        <v>137</v>
      </c>
      <c r="AL5" s="10" t="s">
        <v>108</v>
      </c>
      <c r="AM5" s="10" t="s">
        <v>152</v>
      </c>
      <c r="AN5" s="10" t="s">
        <v>153</v>
      </c>
      <c r="AO5" s="10" t="s">
        <v>154</v>
      </c>
      <c r="AP5" s="10" t="s">
        <v>155</v>
      </c>
      <c r="AQ5" s="10" t="s">
        <v>156</v>
      </c>
      <c r="AR5" s="13" t="n">
        <v>58.559999846442</v>
      </c>
      <c r="AS5" s="13" t="n">
        <v>13.044297</v>
      </c>
      <c r="AT5" s="10" t="n">
        <v>6.85117381730317</v>
      </c>
      <c r="AU5" s="10" t="n">
        <v>0.64</v>
      </c>
      <c r="AV5" s="10" t="n">
        <v>0.509</v>
      </c>
      <c r="AW5" s="10" t="n">
        <v>18.755123</v>
      </c>
      <c r="AX5" s="10" t="n">
        <v>2.581854</v>
      </c>
      <c r="AY5" s="10" t="n">
        <v>100</v>
      </c>
      <c r="AZ5" s="10" t="n">
        <v>3.02271822152213</v>
      </c>
      <c r="BA5" s="10" t="n">
        <v>100</v>
      </c>
      <c r="BB5" s="10"/>
      <c r="BC5" s="10" t="s">
        <v>114</v>
      </c>
      <c r="BD5" s="10" t="s">
        <v>157</v>
      </c>
      <c r="BE5" s="10"/>
      <c r="BF5" s="10"/>
      <c r="BG5" s="10" t="s">
        <v>116</v>
      </c>
      <c r="BH5" s="10" t="s">
        <v>117</v>
      </c>
      <c r="BQ5" s="5" t="n">
        <v>3.02271822152213</v>
      </c>
      <c r="BT5" s="5" t="n">
        <v>3.02271822152213</v>
      </c>
    </row>
    <row r="6" customFormat="false" ht="15" hidden="true" customHeight="true" outlineLevel="0" collapsed="false">
      <c r="A6" s="10" t="n">
        <v>5</v>
      </c>
      <c r="B6" s="10" t="s">
        <v>158</v>
      </c>
      <c r="C6" s="10" t="s">
        <v>159</v>
      </c>
      <c r="D6" s="10" t="s">
        <v>96</v>
      </c>
      <c r="E6" s="10" t="s">
        <v>97</v>
      </c>
      <c r="F6" s="10" t="n">
        <v>776327659520</v>
      </c>
      <c r="G6" s="10" t="s">
        <v>8</v>
      </c>
      <c r="H6" s="10" t="s">
        <v>99</v>
      </c>
      <c r="I6" s="10" t="n">
        <v>85</v>
      </c>
      <c r="J6" s="10" t="n">
        <v>41.6370283493805</v>
      </c>
      <c r="K6" s="10" t="n">
        <v>7</v>
      </c>
      <c r="L6" s="10" t="n">
        <v>100</v>
      </c>
      <c r="M6" s="10" t="s">
        <v>160</v>
      </c>
      <c r="N6" s="10" t="s">
        <v>161</v>
      </c>
      <c r="O6" s="10" t="s">
        <v>162</v>
      </c>
      <c r="P6" s="10" t="n">
        <v>38.7</v>
      </c>
      <c r="Q6" s="10" t="n">
        <v>1.06</v>
      </c>
      <c r="R6" s="10" t="n">
        <v>1.04</v>
      </c>
      <c r="S6" s="10" t="n">
        <v>32.1987562563402</v>
      </c>
      <c r="T6" s="10" t="n">
        <v>23.796306514984</v>
      </c>
      <c r="U6" s="10" t="n">
        <v>28.3058622706657</v>
      </c>
      <c r="V6" s="10" t="n">
        <v>0.06</v>
      </c>
      <c r="W6" s="10" t="n">
        <v>2.02316213632288</v>
      </c>
      <c r="X6" s="10" t="n">
        <v>19.6</v>
      </c>
      <c r="Y6" s="10" t="n">
        <v>35.9</v>
      </c>
      <c r="Z6" s="10" t="s">
        <v>163</v>
      </c>
      <c r="AA6" s="10" t="s">
        <v>104</v>
      </c>
      <c r="AB6" s="10" t="s">
        <v>105</v>
      </c>
      <c r="AC6" s="11" t="n">
        <v>2250.16239838098</v>
      </c>
      <c r="AD6" s="12" t="n">
        <v>4683</v>
      </c>
      <c r="AE6" s="11" t="n">
        <v>2812.70299797622</v>
      </c>
      <c r="AF6" s="13" t="n">
        <v>-76.666359852972</v>
      </c>
      <c r="AG6" s="15" t="n">
        <v>5.07725973056198</v>
      </c>
      <c r="AH6" s="14" t="n">
        <v>50772.5973056198</v>
      </c>
      <c r="AI6" s="10" t="s">
        <v>8</v>
      </c>
      <c r="AJ6" s="10" t="s">
        <v>164</v>
      </c>
      <c r="AK6" s="10" t="s">
        <v>165</v>
      </c>
      <c r="AL6" s="10" t="s">
        <v>108</v>
      </c>
      <c r="AM6" s="10" t="s">
        <v>166</v>
      </c>
      <c r="AN6" s="10" t="s">
        <v>167</v>
      </c>
      <c r="AO6" s="10" t="s">
        <v>168</v>
      </c>
      <c r="AP6" s="10" t="s">
        <v>169</v>
      </c>
      <c r="AQ6" s="10" t="s">
        <v>170</v>
      </c>
      <c r="AR6" s="13" t="n">
        <v>120.260002265267</v>
      </c>
      <c r="AS6" s="13" t="n">
        <v>18.14655820438</v>
      </c>
      <c r="AT6" s="10" t="n">
        <v>23.3885165306521</v>
      </c>
      <c r="AU6" s="10" t="n">
        <v>0.92</v>
      </c>
      <c r="AV6" s="10" t="n">
        <v>0.121</v>
      </c>
      <c r="AW6" s="10" t="n">
        <v>41.31964</v>
      </c>
      <c r="AX6" s="10" t="n">
        <v>9.918542</v>
      </c>
      <c r="AY6" s="10" t="n">
        <v>100</v>
      </c>
      <c r="AZ6" s="10" t="n">
        <v>2.03052153086952</v>
      </c>
      <c r="BA6" s="10" t="n">
        <v>100</v>
      </c>
      <c r="BB6" s="10"/>
      <c r="BC6" s="10" t="s">
        <v>114</v>
      </c>
      <c r="BD6" s="10" t="s">
        <v>115</v>
      </c>
      <c r="BE6" s="10"/>
      <c r="BF6" s="10"/>
      <c r="BG6" s="10" t="s">
        <v>116</v>
      </c>
      <c r="BH6" s="10" t="s">
        <v>117</v>
      </c>
      <c r="BQ6" s="5" t="n">
        <v>2.03052153086952</v>
      </c>
      <c r="BT6" s="5" t="n">
        <v>2.03052153086952</v>
      </c>
    </row>
    <row r="7" customFormat="false" ht="15" hidden="true" customHeight="true" outlineLevel="0" collapsed="false">
      <c r="A7" s="10" t="n">
        <v>6</v>
      </c>
      <c r="B7" s="10" t="s">
        <v>171</v>
      </c>
      <c r="C7" s="10" t="s">
        <v>172</v>
      </c>
      <c r="D7" s="10" t="s">
        <v>147</v>
      </c>
      <c r="E7" s="10" t="s">
        <v>173</v>
      </c>
      <c r="F7" s="10" t="n">
        <v>251128152064</v>
      </c>
      <c r="G7" s="10" t="s">
        <v>9</v>
      </c>
      <c r="H7" s="10" t="s">
        <v>99</v>
      </c>
      <c r="I7" s="15" t="n">
        <v>58.5</v>
      </c>
      <c r="J7" s="15" t="n">
        <v>27.9735778520656</v>
      </c>
      <c r="K7" s="10" t="n">
        <v>70</v>
      </c>
      <c r="L7" s="10" t="n">
        <v>100</v>
      </c>
      <c r="M7" s="10" t="s">
        <v>174</v>
      </c>
      <c r="N7" s="10" t="s">
        <v>101</v>
      </c>
      <c r="O7" s="10" t="s">
        <v>175</v>
      </c>
      <c r="P7" s="10" t="n">
        <v>46</v>
      </c>
      <c r="Q7" s="10" t="n">
        <v>0.74</v>
      </c>
      <c r="R7" s="10" t="n">
        <v>4.07</v>
      </c>
      <c r="S7" s="10"/>
      <c r="T7" s="10" t="n">
        <v>19.1197606867527</v>
      </c>
      <c r="U7" s="10" t="n">
        <v>25.4768608936117</v>
      </c>
      <c r="V7" s="10" t="n">
        <v>0.08</v>
      </c>
      <c r="W7" s="10"/>
      <c r="X7" s="10" t="n">
        <v>28</v>
      </c>
      <c r="Y7" s="10" t="n">
        <v>11</v>
      </c>
      <c r="Z7" s="10" t="s">
        <v>176</v>
      </c>
      <c r="AA7" s="10" t="s">
        <v>104</v>
      </c>
      <c r="AB7" s="10" t="s">
        <v>105</v>
      </c>
      <c r="AC7" s="11" t="n">
        <v>142.93876942201</v>
      </c>
      <c r="AD7" s="12" t="n">
        <v>2450</v>
      </c>
      <c r="AE7" s="11" t="n">
        <v>178.673461777512</v>
      </c>
      <c r="AF7" s="13" t="n">
        <v>-1142.65796269441</v>
      </c>
      <c r="AG7" s="15" t="n">
        <v>3.41112528867942</v>
      </c>
      <c r="AH7" s="14" t="n">
        <v>34111.2528867942</v>
      </c>
      <c r="AI7" s="10" t="s">
        <v>9</v>
      </c>
      <c r="AJ7" s="10" t="s">
        <v>177</v>
      </c>
      <c r="AK7" s="10" t="s">
        <v>178</v>
      </c>
      <c r="AL7" s="10" t="s">
        <v>108</v>
      </c>
      <c r="AM7" s="10" t="s">
        <v>179</v>
      </c>
      <c r="AN7" s="10" t="s">
        <v>180</v>
      </c>
      <c r="AO7" s="10" t="s">
        <v>181</v>
      </c>
      <c r="AP7" s="10" t="s">
        <v>182</v>
      </c>
      <c r="AQ7" s="10" t="s">
        <v>183</v>
      </c>
      <c r="AR7" s="13" t="n">
        <v>43.9099988009444</v>
      </c>
      <c r="AS7" s="13" t="n">
        <v>17.2376802</v>
      </c>
      <c r="AT7" s="10" t="n">
        <v>4.0690836205309</v>
      </c>
      <c r="AU7" s="10" t="n">
        <v>0.5</v>
      </c>
      <c r="AV7" s="10" t="n">
        <v>1.45</v>
      </c>
      <c r="AW7" s="10" t="n">
        <v>50.564793</v>
      </c>
      <c r="AX7" s="10" t="n">
        <v>9.754844</v>
      </c>
      <c r="AY7" s="10" t="n">
        <v>100</v>
      </c>
      <c r="AZ7" s="10" t="n">
        <v>4.36383640319439</v>
      </c>
      <c r="BA7" s="10" t="n">
        <v>100</v>
      </c>
      <c r="BB7" s="10"/>
      <c r="BC7" s="10" t="s">
        <v>114</v>
      </c>
      <c r="BD7" s="10" t="s">
        <v>157</v>
      </c>
      <c r="BE7" s="10"/>
      <c r="BF7" s="10"/>
      <c r="BG7" s="10" t="s">
        <v>184</v>
      </c>
      <c r="BH7" s="10" t="s">
        <v>117</v>
      </c>
      <c r="BQ7" s="5" t="n">
        <v>4.36383640319439</v>
      </c>
      <c r="BT7" s="5" t="n">
        <v>4.36383640319439</v>
      </c>
    </row>
    <row r="8" customFormat="false" ht="15" hidden="true" customHeight="true" outlineLevel="0" collapsed="false">
      <c r="A8" s="10" t="n">
        <v>7</v>
      </c>
      <c r="B8" s="10" t="s">
        <v>185</v>
      </c>
      <c r="C8" s="10" t="s">
        <v>186</v>
      </c>
      <c r="D8" s="10" t="s">
        <v>147</v>
      </c>
      <c r="E8" s="10" t="s">
        <v>187</v>
      </c>
      <c r="F8" s="10" t="n">
        <v>1569645002752</v>
      </c>
      <c r="G8" s="10" t="s">
        <v>9</v>
      </c>
      <c r="H8" s="10" t="s">
        <v>99</v>
      </c>
      <c r="I8" s="15" t="n">
        <v>89.5</v>
      </c>
      <c r="J8" s="15" t="n">
        <v>44.6857407411778</v>
      </c>
      <c r="K8" s="10" t="n">
        <v>80</v>
      </c>
      <c r="L8" s="10" t="n">
        <v>100</v>
      </c>
      <c r="M8" s="10" t="s">
        <v>188</v>
      </c>
      <c r="N8" s="10" t="s">
        <v>101</v>
      </c>
      <c r="O8" s="10" t="s">
        <v>189</v>
      </c>
      <c r="P8" s="10" t="n">
        <v>64.3</v>
      </c>
      <c r="Q8" s="10" t="n">
        <v>2.09</v>
      </c>
      <c r="R8" s="10" t="n">
        <v>2.05</v>
      </c>
      <c r="S8" s="10" t="n">
        <v>65.30807280873</v>
      </c>
      <c r="T8" s="10" t="n">
        <v>27.8667305396004</v>
      </c>
      <c r="U8" s="10" t="n">
        <v>27.0330790985627</v>
      </c>
      <c r="V8" s="10" t="n">
        <v>0.003</v>
      </c>
      <c r="W8" s="10" t="n">
        <v>0.94731023916333</v>
      </c>
      <c r="X8" s="10" t="n">
        <v>13</v>
      </c>
      <c r="Y8" s="10" t="n">
        <v>30.8</v>
      </c>
      <c r="Z8" s="10" t="s">
        <v>176</v>
      </c>
      <c r="AA8" s="10" t="s">
        <v>104</v>
      </c>
      <c r="AB8" s="10" t="s">
        <v>105</v>
      </c>
      <c r="AC8" s="11" t="n">
        <v>1381.05448122995</v>
      </c>
      <c r="AD8" s="12" t="n">
        <v>5478</v>
      </c>
      <c r="AE8" s="11" t="n">
        <v>1726.31810153744</v>
      </c>
      <c r="AF8" s="13" t="n">
        <v>-228.01023142589</v>
      </c>
      <c r="AG8" s="15" t="n">
        <v>5.44902268460978</v>
      </c>
      <c r="AH8" s="14" t="n">
        <v>54490.2268460978</v>
      </c>
      <c r="AI8" s="10" t="s">
        <v>9</v>
      </c>
      <c r="AJ8" s="10" t="s">
        <v>177</v>
      </c>
      <c r="AK8" s="10" t="s">
        <v>178</v>
      </c>
      <c r="AL8" s="10" t="s">
        <v>108</v>
      </c>
      <c r="AM8" s="10" t="s">
        <v>190</v>
      </c>
      <c r="AN8" s="10" t="s">
        <v>191</v>
      </c>
      <c r="AO8" s="10" t="s">
        <v>192</v>
      </c>
      <c r="AP8" s="10" t="s">
        <v>193</v>
      </c>
      <c r="AQ8" s="10" t="s">
        <v>194</v>
      </c>
      <c r="AR8" s="13" t="n">
        <v>85.9100077307628</v>
      </c>
      <c r="AS8" s="13" t="n">
        <v>10.9602055</v>
      </c>
      <c r="AT8" s="10" t="n">
        <v>20.094495420061</v>
      </c>
      <c r="AU8" s="10" t="n">
        <v>1.2</v>
      </c>
      <c r="AV8" s="10" t="n">
        <v>0.572</v>
      </c>
      <c r="AW8" s="10" t="n">
        <v>65.911995</v>
      </c>
      <c r="AX8" s="10" t="n">
        <v>18.519972</v>
      </c>
      <c r="AY8" s="10" t="n">
        <v>100</v>
      </c>
      <c r="AZ8" s="10" t="n">
        <v>0.143596109100005</v>
      </c>
      <c r="BA8" s="10" t="n">
        <v>100</v>
      </c>
      <c r="BB8" s="10"/>
      <c r="BC8" s="10" t="s">
        <v>114</v>
      </c>
      <c r="BD8" s="10" t="s">
        <v>115</v>
      </c>
      <c r="BE8" s="10"/>
      <c r="BF8" s="10"/>
      <c r="BG8" s="10" t="s">
        <v>116</v>
      </c>
      <c r="BH8" s="10" t="s">
        <v>117</v>
      </c>
      <c r="BJ8" s="5" t="s">
        <v>114</v>
      </c>
      <c r="BK8" s="5" t="s">
        <v>195</v>
      </c>
      <c r="BQ8" s="5" t="n">
        <v>0.143596109100005</v>
      </c>
      <c r="BT8" s="5" t="n">
        <v>0.143596109100005</v>
      </c>
    </row>
    <row r="9" customFormat="false" ht="15" hidden="true" customHeight="true" outlineLevel="0" collapsed="false">
      <c r="A9" s="10" t="n">
        <v>8</v>
      </c>
      <c r="B9" s="10" t="s">
        <v>196</v>
      </c>
      <c r="C9" s="10" t="s">
        <v>197</v>
      </c>
      <c r="D9" s="10" t="s">
        <v>147</v>
      </c>
      <c r="E9" s="10" t="s">
        <v>187</v>
      </c>
      <c r="F9" s="10" t="n">
        <v>213748400128</v>
      </c>
      <c r="G9" s="10" t="s">
        <v>9</v>
      </c>
      <c r="H9" s="10" t="s">
        <v>198</v>
      </c>
      <c r="I9" s="10" t="n">
        <v>44.5</v>
      </c>
      <c r="J9" s="10" t="n">
        <v>0</v>
      </c>
      <c r="K9" s="10" t="n">
        <v>55</v>
      </c>
      <c r="L9" s="10" t="n">
        <v>100</v>
      </c>
      <c r="M9" s="10" t="s">
        <v>199</v>
      </c>
      <c r="N9" s="10" t="s">
        <v>101</v>
      </c>
      <c r="O9" s="10" t="s">
        <v>200</v>
      </c>
      <c r="P9" s="10" t="n">
        <v>190</v>
      </c>
      <c r="Q9" s="10" t="n">
        <v>2.49</v>
      </c>
      <c r="R9" s="10" t="n">
        <v>2.49</v>
      </c>
      <c r="S9" s="10" t="n">
        <v>159.7169136135</v>
      </c>
      <c r="T9" s="10" t="n">
        <v>11.4310097290621</v>
      </c>
      <c r="U9" s="10" t="n">
        <v>13.3959153480375</v>
      </c>
      <c r="V9" s="10" t="n">
        <v>0.3</v>
      </c>
      <c r="W9" s="10" t="n">
        <v>0.291029009903898</v>
      </c>
      <c r="X9" s="10" t="n">
        <v>29.6</v>
      </c>
      <c r="Y9" s="10" t="n">
        <v>76.2</v>
      </c>
      <c r="Z9" s="10" t="s">
        <v>176</v>
      </c>
      <c r="AA9" s="10" t="s">
        <v>104</v>
      </c>
      <c r="AB9" s="10" t="s">
        <v>201</v>
      </c>
      <c r="AC9" s="11" t="n">
        <v>492.573493072241</v>
      </c>
      <c r="AD9" s="12" t="n">
        <v>7034</v>
      </c>
      <c r="AE9" s="11" t="n">
        <v>615.716866340301</v>
      </c>
      <c r="AF9" s="13" t="n">
        <v>-1028.60315834833</v>
      </c>
      <c r="AG9" s="15" t="n">
        <v>0.672326191827808</v>
      </c>
      <c r="AH9" s="14" t="n">
        <v>6723.26191827808</v>
      </c>
      <c r="AI9" s="10" t="s">
        <v>9</v>
      </c>
      <c r="AJ9" s="10" t="s">
        <v>177</v>
      </c>
      <c r="AK9" s="10" t="s">
        <v>178</v>
      </c>
      <c r="AL9" s="10" t="s">
        <v>108</v>
      </c>
      <c r="AM9" s="10" t="s">
        <v>202</v>
      </c>
      <c r="AN9" s="10" t="s">
        <v>203</v>
      </c>
      <c r="AO9" s="10" t="s">
        <v>204</v>
      </c>
      <c r="AP9" s="10" t="s">
        <v>205</v>
      </c>
      <c r="AQ9" s="10" t="s">
        <v>183</v>
      </c>
      <c r="AR9" s="13" t="n">
        <v>31.2199997771605</v>
      </c>
      <c r="AS9" s="13" t="n">
        <v>12.121</v>
      </c>
      <c r="AT9" s="10" t="n">
        <v>19.7218727207015</v>
      </c>
      <c r="AU9" s="10"/>
      <c r="AV9" s="10" t="n">
        <v>1.099</v>
      </c>
      <c r="AW9" s="10" t="n">
        <v>222.58168</v>
      </c>
      <c r="AX9" s="10" t="n">
        <v>25.978542</v>
      </c>
      <c r="AY9" s="10" t="n">
        <v>75</v>
      </c>
      <c r="AZ9" s="10" t="n">
        <v>15.2593788458445</v>
      </c>
      <c r="BA9" s="10" t="n">
        <v>75</v>
      </c>
      <c r="BB9" s="10"/>
      <c r="BC9" s="10" t="s">
        <v>114</v>
      </c>
      <c r="BD9" s="10" t="s">
        <v>157</v>
      </c>
      <c r="BE9" s="10"/>
      <c r="BF9" s="10"/>
      <c r="BG9" s="10" t="s">
        <v>184</v>
      </c>
      <c r="BH9" s="10" t="s">
        <v>117</v>
      </c>
      <c r="BQ9" s="5" t="n">
        <v>15.2593788458445</v>
      </c>
      <c r="BT9" s="5" t="n">
        <v>15.2593788458445</v>
      </c>
    </row>
    <row r="10" customFormat="false" ht="15" hidden="true" customHeight="true" outlineLevel="0" collapsed="false">
      <c r="A10" s="10" t="n">
        <v>9</v>
      </c>
      <c r="B10" s="10" t="s">
        <v>206</v>
      </c>
      <c r="C10" s="10" t="s">
        <v>207</v>
      </c>
      <c r="D10" s="10" t="s">
        <v>208</v>
      </c>
      <c r="E10" s="10" t="s">
        <v>209</v>
      </c>
      <c r="F10" s="10" t="n">
        <v>443874607104</v>
      </c>
      <c r="G10" s="10" t="s">
        <v>9</v>
      </c>
      <c r="H10" s="10" t="s">
        <v>143</v>
      </c>
      <c r="I10" s="15" t="n">
        <v>27.5</v>
      </c>
      <c r="J10" s="15" t="n">
        <v>11.5847147720787</v>
      </c>
      <c r="K10" s="10" t="n">
        <v>55</v>
      </c>
      <c r="L10" s="10" t="n">
        <v>100</v>
      </c>
      <c r="M10" s="10" t="s">
        <v>210</v>
      </c>
      <c r="N10" s="10" t="s">
        <v>101</v>
      </c>
      <c r="O10" s="10" t="s">
        <v>211</v>
      </c>
      <c r="P10" s="10" t="n">
        <v>39</v>
      </c>
      <c r="Q10" s="10" t="n">
        <v>1.18</v>
      </c>
      <c r="R10" s="10" t="n">
        <v>1.13</v>
      </c>
      <c r="S10" s="10" t="n">
        <v>38.9252957696822</v>
      </c>
      <c r="T10" s="10" t="n">
        <v>10.224468143237</v>
      </c>
      <c r="U10" s="10" t="n">
        <v>11.3635373912665</v>
      </c>
      <c r="V10" s="10" t="n">
        <v>0.1</v>
      </c>
      <c r="W10" s="10" t="n">
        <v>2.47524870714209</v>
      </c>
      <c r="X10" s="10" t="n">
        <v>-0.1</v>
      </c>
      <c r="Y10" s="10" t="n">
        <v>33</v>
      </c>
      <c r="Z10" s="10" t="s">
        <v>176</v>
      </c>
      <c r="AA10" s="10" t="s">
        <v>104</v>
      </c>
      <c r="AB10" s="10" t="s">
        <v>212</v>
      </c>
      <c r="AC10" s="11" t="n">
        <v>651.420168558125</v>
      </c>
      <c r="AD10" s="12" t="n">
        <v>1325</v>
      </c>
      <c r="AE10" s="11" t="n">
        <v>814.275210697656</v>
      </c>
      <c r="AF10" s="13" t="n">
        <v>-55.3037576713792</v>
      </c>
      <c r="AG10" s="15" t="n">
        <v>0.539014569111855</v>
      </c>
      <c r="AH10" s="14" t="n">
        <v>5390.14569111855</v>
      </c>
      <c r="AI10" s="10" t="s">
        <v>213</v>
      </c>
      <c r="AJ10" s="10" t="s">
        <v>177</v>
      </c>
      <c r="AK10" s="10" t="s">
        <v>178</v>
      </c>
      <c r="AL10" s="10" t="s">
        <v>108</v>
      </c>
      <c r="AM10" s="10" t="s">
        <v>214</v>
      </c>
      <c r="AN10" s="10" t="s">
        <v>215</v>
      </c>
      <c r="AO10" s="10" t="s">
        <v>216</v>
      </c>
      <c r="AP10" s="10" t="s">
        <v>217</v>
      </c>
      <c r="AQ10" s="10" t="s">
        <v>218</v>
      </c>
      <c r="AR10" s="13" t="n">
        <v>25.5300008802056</v>
      </c>
      <c r="AS10" s="13" t="n">
        <v>10.48834958224</v>
      </c>
      <c r="AT10" s="10" t="n">
        <v>31.8948378651647</v>
      </c>
      <c r="AU10" s="10" t="n">
        <v>1.08</v>
      </c>
      <c r="AV10" s="10" t="n">
        <v>0.572</v>
      </c>
      <c r="AW10" s="10" t="n">
        <v>49.53388</v>
      </c>
      <c r="AX10" s="10" t="n">
        <v>7.3316097</v>
      </c>
      <c r="AY10" s="10" t="n">
        <v>100</v>
      </c>
      <c r="AZ10" s="10" t="n">
        <v>15.7475289303365</v>
      </c>
      <c r="BA10" s="10" t="n">
        <v>100</v>
      </c>
      <c r="BB10" s="10"/>
      <c r="BC10" s="10" t="s">
        <v>114</v>
      </c>
      <c r="BD10" s="10" t="s">
        <v>157</v>
      </c>
      <c r="BE10" s="10"/>
      <c r="BF10" s="10"/>
      <c r="BG10" s="10" t="s">
        <v>116</v>
      </c>
      <c r="BH10" s="10" t="s">
        <v>117</v>
      </c>
      <c r="BQ10" s="5" t="n">
        <v>15.7475289303365</v>
      </c>
      <c r="BT10" s="5" t="n">
        <v>15.7475289303365</v>
      </c>
    </row>
    <row r="11" customFormat="false" ht="15" hidden="true" customHeight="true" outlineLevel="0" collapsed="false">
      <c r="A11" s="10" t="n">
        <v>10</v>
      </c>
      <c r="B11" s="10" t="s">
        <v>219</v>
      </c>
      <c r="C11" s="10" t="s">
        <v>220</v>
      </c>
      <c r="D11" s="10" t="s">
        <v>132</v>
      </c>
      <c r="E11" s="10" t="s">
        <v>133</v>
      </c>
      <c r="F11" s="10" t="n">
        <v>250824327168</v>
      </c>
      <c r="G11" s="10" t="s">
        <v>9</v>
      </c>
      <c r="H11" s="10" t="s">
        <v>143</v>
      </c>
      <c r="I11" s="15" t="n">
        <v>73.5</v>
      </c>
      <c r="J11" s="15" t="n">
        <v>34.78113480595</v>
      </c>
      <c r="K11" s="10" t="n">
        <v>70</v>
      </c>
      <c r="L11" s="10" t="n">
        <v>100</v>
      </c>
      <c r="M11" s="10" t="s">
        <v>221</v>
      </c>
      <c r="N11" s="10" t="s">
        <v>101</v>
      </c>
      <c r="O11" s="10" t="s">
        <v>222</v>
      </c>
      <c r="P11" s="10" t="n">
        <v>64</v>
      </c>
      <c r="Q11" s="10" t="n">
        <v>1.73</v>
      </c>
      <c r="R11" s="10" t="n">
        <v>1.66</v>
      </c>
      <c r="S11" s="10" t="n">
        <v>52.4217491792477</v>
      </c>
      <c r="T11" s="10" t="n">
        <v>19.4187069869082</v>
      </c>
      <c r="U11" s="10" t="n">
        <v>21.7464600502437</v>
      </c>
      <c r="V11" s="10" t="n">
        <v>0.4</v>
      </c>
      <c r="W11" s="10" t="n">
        <v>-0.199358403555769</v>
      </c>
      <c r="X11" s="10" t="n">
        <v>37</v>
      </c>
      <c r="Y11" s="10" t="n">
        <v>37</v>
      </c>
      <c r="Z11" s="10" t="s">
        <v>176</v>
      </c>
      <c r="AA11" s="10" t="s">
        <v>104</v>
      </c>
      <c r="AB11" s="10" t="s">
        <v>105</v>
      </c>
      <c r="AC11" s="11" t="n">
        <v>1489.66749964699</v>
      </c>
      <c r="AD11" s="12" t="n">
        <v>18944</v>
      </c>
      <c r="AE11" s="11" t="n">
        <v>1862.08437455874</v>
      </c>
      <c r="AF11" s="13" t="n">
        <v>-949.898719258241</v>
      </c>
      <c r="AG11" s="15" t="n">
        <v>1.14589975174742</v>
      </c>
      <c r="AH11" s="14" t="n">
        <v>11458.9975174742</v>
      </c>
      <c r="AI11" s="10" t="s">
        <v>9</v>
      </c>
      <c r="AJ11" s="10" t="s">
        <v>177</v>
      </c>
      <c r="AK11" s="10" t="s">
        <v>178</v>
      </c>
      <c r="AL11" s="10" t="s">
        <v>108</v>
      </c>
      <c r="AM11" s="10" t="s">
        <v>223</v>
      </c>
      <c r="AN11" s="10" t="s">
        <v>224</v>
      </c>
      <c r="AO11" s="10" t="s">
        <v>225</v>
      </c>
      <c r="AP11" s="10" t="s">
        <v>226</v>
      </c>
      <c r="AQ11" s="10" t="s">
        <v>227</v>
      </c>
      <c r="AR11" s="13" t="n">
        <v>293.130018951943</v>
      </c>
      <c r="AS11" s="13" t="n">
        <v>10</v>
      </c>
      <c r="AT11" s="10" t="n">
        <v>6.3524182941314</v>
      </c>
      <c r="AU11" s="10" t="n">
        <v>0.18</v>
      </c>
      <c r="AV11" s="10" t="n">
        <v>-0.321</v>
      </c>
      <c r="AW11" s="10" t="n">
        <v>66.693954</v>
      </c>
      <c r="AX11" s="10" t="n">
        <v>13.390219</v>
      </c>
      <c r="AY11" s="10" t="n">
        <v>50</v>
      </c>
      <c r="AZ11" s="10" t="n">
        <v>5.35745631034019</v>
      </c>
      <c r="BA11" s="10" t="n">
        <v>50</v>
      </c>
      <c r="BB11" s="10"/>
      <c r="BC11" s="10" t="s">
        <v>114</v>
      </c>
      <c r="BD11" s="10" t="s">
        <v>157</v>
      </c>
      <c r="BE11" s="10"/>
      <c r="BF11" s="10"/>
      <c r="BG11" s="10" t="s">
        <v>184</v>
      </c>
      <c r="BH11" s="10" t="s">
        <v>117</v>
      </c>
      <c r="BQ11" s="5" t="n">
        <v>5.35745631034019</v>
      </c>
      <c r="BT11" s="5" t="n">
        <v>5.35745631034019</v>
      </c>
    </row>
    <row r="12" customFormat="false" ht="15" hidden="true" customHeight="true" outlineLevel="0" collapsed="false">
      <c r="A12" s="10" t="n">
        <v>11</v>
      </c>
      <c r="B12" s="10" t="s">
        <v>228</v>
      </c>
      <c r="C12" s="10" t="s">
        <v>229</v>
      </c>
      <c r="D12" s="10" t="s">
        <v>147</v>
      </c>
      <c r="E12" s="10" t="s">
        <v>187</v>
      </c>
      <c r="F12" s="10" t="n">
        <v>116553334784</v>
      </c>
      <c r="G12" s="10" t="s">
        <v>9</v>
      </c>
      <c r="H12" s="10" t="s">
        <v>99</v>
      </c>
      <c r="I12" s="15" t="n">
        <v>44.5</v>
      </c>
      <c r="J12" s="15" t="n">
        <v>21.3730254760036</v>
      </c>
      <c r="K12" s="10" t="n">
        <v>70</v>
      </c>
      <c r="L12" s="10" t="n">
        <v>100</v>
      </c>
      <c r="M12" s="10" t="s">
        <v>230</v>
      </c>
      <c r="N12" s="10" t="s">
        <v>101</v>
      </c>
      <c r="O12" s="10" t="s">
        <v>231</v>
      </c>
      <c r="P12" s="10" t="n">
        <v>35.19</v>
      </c>
      <c r="Q12" s="10" t="n">
        <v>2.01</v>
      </c>
      <c r="R12" s="10" t="n">
        <v>1.85</v>
      </c>
      <c r="S12" s="10" t="n">
        <v>27.39882442482</v>
      </c>
      <c r="T12" s="10" t="n">
        <v>14.7951063174649</v>
      </c>
      <c r="U12" s="10" t="n">
        <v>16.7132687394853</v>
      </c>
      <c r="V12" s="10" t="n">
        <v>0.12</v>
      </c>
      <c r="W12" s="10" t="n">
        <v>1.65578775299312</v>
      </c>
      <c r="X12" s="10" t="n">
        <v>17.5</v>
      </c>
      <c r="Y12" s="10" t="n">
        <v>17.5</v>
      </c>
      <c r="Z12" s="10" t="s">
        <v>176</v>
      </c>
      <c r="AA12" s="10" t="s">
        <v>104</v>
      </c>
      <c r="AB12" s="10" t="s">
        <v>105</v>
      </c>
      <c r="AC12" s="11" t="n">
        <v>187.070596755975</v>
      </c>
      <c r="AD12" s="12" t="n">
        <v>529</v>
      </c>
      <c r="AE12" s="11" t="n">
        <v>233.838245944969</v>
      </c>
      <c r="AF12" s="13" t="n">
        <v>-122.11935344496</v>
      </c>
      <c r="AG12" s="15" t="n">
        <v>2.60624751264707</v>
      </c>
      <c r="AH12" s="14" t="n">
        <v>26062.4751264707</v>
      </c>
      <c r="AI12" s="10" t="s">
        <v>9</v>
      </c>
      <c r="AJ12" s="10" t="s">
        <v>177</v>
      </c>
      <c r="AK12" s="10" t="s">
        <v>178</v>
      </c>
      <c r="AL12" s="10" t="s">
        <v>108</v>
      </c>
      <c r="AM12" s="10" t="s">
        <v>232</v>
      </c>
      <c r="AN12" s="10" t="s">
        <v>233</v>
      </c>
      <c r="AO12" s="10" t="s">
        <v>234</v>
      </c>
      <c r="AP12" s="10" t="s">
        <v>235</v>
      </c>
      <c r="AQ12" s="10" t="s">
        <v>183</v>
      </c>
      <c r="AR12" s="13" t="n">
        <v>15.1899992834906</v>
      </c>
      <c r="AS12" s="13" t="n">
        <v>13.76500855851</v>
      </c>
      <c r="AT12" s="10" t="n">
        <v>15.3942229061862</v>
      </c>
      <c r="AU12" s="10" t="n">
        <v>0.4</v>
      </c>
      <c r="AV12" s="10" t="n">
        <v>0.489</v>
      </c>
      <c r="AW12" s="10" t="n">
        <v>34.19355</v>
      </c>
      <c r="AX12" s="10" t="n">
        <v>5.054693</v>
      </c>
      <c r="AY12" s="10" t="n">
        <v>100</v>
      </c>
      <c r="AZ12" s="10" t="n">
        <v>3.94145853481537</v>
      </c>
      <c r="BA12" s="10" t="n">
        <v>100</v>
      </c>
      <c r="BB12" s="10"/>
      <c r="BC12" s="10" t="s">
        <v>114</v>
      </c>
      <c r="BD12" s="10" t="s">
        <v>157</v>
      </c>
      <c r="BE12" s="10"/>
      <c r="BF12" s="10"/>
      <c r="BG12" s="10" t="s">
        <v>116</v>
      </c>
      <c r="BH12" s="10" t="s">
        <v>117</v>
      </c>
      <c r="BQ12" s="5" t="n">
        <v>3.94145853481537</v>
      </c>
      <c r="BT12" s="5" t="n">
        <v>3.94145853481537</v>
      </c>
    </row>
    <row r="13" customFormat="false" ht="15" hidden="true" customHeight="true" outlineLevel="0" collapsed="false">
      <c r="A13" s="10" t="n">
        <v>12</v>
      </c>
      <c r="B13" s="10" t="s">
        <v>236</v>
      </c>
      <c r="C13" s="10" t="s">
        <v>237</v>
      </c>
      <c r="D13" s="10" t="s">
        <v>238</v>
      </c>
      <c r="E13" s="10" t="s">
        <v>239</v>
      </c>
      <c r="F13" s="10" t="n">
        <v>9477074976768</v>
      </c>
      <c r="G13" s="10" t="s">
        <v>9</v>
      </c>
      <c r="H13" s="10" t="s">
        <v>99</v>
      </c>
      <c r="I13" s="15" t="n">
        <v>23.3333333333333</v>
      </c>
      <c r="J13" s="15" t="n">
        <v>14.139392867694</v>
      </c>
      <c r="K13" s="10" t="n">
        <v>75</v>
      </c>
      <c r="L13" s="10" t="n">
        <v>60</v>
      </c>
      <c r="M13" s="10" t="s">
        <v>240</v>
      </c>
      <c r="N13" s="10" t="s">
        <v>101</v>
      </c>
      <c r="O13" s="10" t="s">
        <v>241</v>
      </c>
      <c r="P13" s="10" t="n">
        <v>11.6</v>
      </c>
      <c r="Q13" s="10" t="n">
        <v>0.89</v>
      </c>
      <c r="R13" s="10" t="n">
        <v>0.8</v>
      </c>
      <c r="S13" s="10"/>
      <c r="T13" s="10" t="n">
        <v>13.546738870871</v>
      </c>
      <c r="U13" s="10" t="n">
        <v>13.76</v>
      </c>
      <c r="V13" s="10" t="n">
        <v>1.33</v>
      </c>
      <c r="W13" s="10" t="n">
        <v>2.89737400020604</v>
      </c>
      <c r="X13" s="10" t="n">
        <v>5.2</v>
      </c>
      <c r="Y13" s="10" t="n">
        <v>13</v>
      </c>
      <c r="Z13" s="10" t="s">
        <v>176</v>
      </c>
      <c r="AA13" s="10" t="s">
        <v>104</v>
      </c>
      <c r="AB13" s="10" t="s">
        <v>105</v>
      </c>
      <c r="AC13" s="11" t="n">
        <v>829.620224441563</v>
      </c>
      <c r="AD13" s="12" t="n">
        <v>1040</v>
      </c>
      <c r="AE13" s="11" t="n">
        <v>1037.02528055195</v>
      </c>
      <c r="AF13" s="13" t="n">
        <v>0.995663340671641</v>
      </c>
      <c r="AG13" s="15" t="n">
        <v>1.03450279043951</v>
      </c>
      <c r="AH13" s="14" t="n">
        <v>10345.0279043951</v>
      </c>
      <c r="AI13" s="10" t="s">
        <v>9</v>
      </c>
      <c r="AJ13" s="10" t="s">
        <v>177</v>
      </c>
      <c r="AK13" s="10" t="s">
        <v>178</v>
      </c>
      <c r="AL13" s="10" t="s">
        <v>108</v>
      </c>
      <c r="AM13" s="10" t="s">
        <v>242</v>
      </c>
      <c r="AN13" s="10" t="s">
        <v>243</v>
      </c>
      <c r="AO13" s="10" t="s">
        <v>244</v>
      </c>
      <c r="AP13" s="10" t="s">
        <v>245</v>
      </c>
      <c r="AQ13" s="10" t="s">
        <v>246</v>
      </c>
      <c r="AR13" s="13" t="n">
        <v>91.5800089234091</v>
      </c>
      <c r="AS13" s="13" t="n">
        <v>12.7778112</v>
      </c>
      <c r="AT13" s="10" t="n">
        <v>11.3237091128189</v>
      </c>
      <c r="AU13" s="10" t="n">
        <v>1.71</v>
      </c>
      <c r="AV13" s="10" t="n">
        <v>0.362</v>
      </c>
      <c r="AW13" s="10" t="n">
        <v>11.210962</v>
      </c>
      <c r="AX13" s="10" t="n">
        <v>1.5897644</v>
      </c>
      <c r="AY13" s="10" t="n">
        <v>60</v>
      </c>
      <c r="AZ13" s="10" t="n">
        <v>40</v>
      </c>
      <c r="BA13" s="10" t="n">
        <v>100</v>
      </c>
      <c r="BB13" s="10"/>
      <c r="BC13" s="10" t="s">
        <v>247</v>
      </c>
      <c r="BD13" s="10" t="s">
        <v>157</v>
      </c>
      <c r="BE13" s="10"/>
      <c r="BF13" s="10"/>
      <c r="BG13" s="10" t="s">
        <v>248</v>
      </c>
      <c r="BH13" s="10" t="s">
        <v>117</v>
      </c>
      <c r="BJ13" s="5" t="s">
        <v>143</v>
      </c>
      <c r="BK13" s="5" t="s">
        <v>249</v>
      </c>
      <c r="BQ13" s="5" t="n">
        <v>40</v>
      </c>
      <c r="BT13" s="5" t="n">
        <v>40</v>
      </c>
    </row>
    <row r="14" customFormat="false" ht="15" hidden="true" customHeight="true" outlineLevel="0" collapsed="false">
      <c r="A14" s="10" t="n">
        <v>13</v>
      </c>
      <c r="B14" s="10" t="s">
        <v>250</v>
      </c>
      <c r="C14" s="10" t="s">
        <v>251</v>
      </c>
      <c r="D14" s="10" t="s">
        <v>252</v>
      </c>
      <c r="E14" s="10" t="s">
        <v>253</v>
      </c>
      <c r="F14" s="10" t="n">
        <v>4059207827456</v>
      </c>
      <c r="G14" s="10" t="s">
        <v>9</v>
      </c>
      <c r="H14" s="10" t="s">
        <v>143</v>
      </c>
      <c r="I14" s="15" t="n">
        <v>72</v>
      </c>
      <c r="J14" s="15" t="n">
        <v>12.5998853722219</v>
      </c>
      <c r="K14" s="10" t="n">
        <v>50</v>
      </c>
      <c r="L14" s="10" t="n">
        <v>100</v>
      </c>
      <c r="M14" s="10" t="s">
        <v>254</v>
      </c>
      <c r="N14" s="10" t="s">
        <v>101</v>
      </c>
      <c r="O14" s="10" t="s">
        <v>255</v>
      </c>
      <c r="P14" s="10" t="n">
        <v>76.5</v>
      </c>
      <c r="Q14" s="10" t="n">
        <v>5.1</v>
      </c>
      <c r="R14" s="10" t="n">
        <v>4.64</v>
      </c>
      <c r="S14" s="10"/>
      <c r="T14" s="10" t="n">
        <v>32.3059288034134</v>
      </c>
      <c r="U14" s="10" t="n">
        <v>36.3732665639445</v>
      </c>
      <c r="V14" s="10" t="n">
        <v>1.5</v>
      </c>
      <c r="W14" s="10"/>
      <c r="X14" s="10" t="n">
        <v>17</v>
      </c>
      <c r="Y14" s="10" t="n">
        <v>15</v>
      </c>
      <c r="Z14" s="10" t="s">
        <v>176</v>
      </c>
      <c r="AA14" s="10" t="s">
        <v>104</v>
      </c>
      <c r="AB14" s="10" t="s">
        <v>212</v>
      </c>
      <c r="AC14" s="11" t="n">
        <v>1239.59394610828</v>
      </c>
      <c r="AD14" s="12" t="n">
        <v>3550</v>
      </c>
      <c r="AE14" s="11" t="n">
        <v>1549.49243263535</v>
      </c>
      <c r="AF14" s="13" t="n">
        <v>-195.328967319773</v>
      </c>
      <c r="AG14" s="15" t="str">
        <f aca="false">IF(H14="Fail","Not Eligible (Failed Gate)",IF(J14="","Pending Score",IF(J14&gt;=90,"10%",IF(J14&gt;=80,"7.5%",IF(J14&gt;=70,"5%","Watchlist only")))))</f>
        <v>Watchlist only</v>
      </c>
      <c r="AH14" s="14" t="str">
        <f aca="false">IFERROR(ROUND(VALUE(SUBSTITUTE(AG14,"%",""))/100*Dashboard!$B$11,0),"")</f>
        <v/>
      </c>
      <c r="AI14" s="10" t="s">
        <v>213</v>
      </c>
      <c r="AJ14" s="10" t="s">
        <v>177</v>
      </c>
      <c r="AK14" s="10" t="s">
        <v>178</v>
      </c>
      <c r="AL14" s="10" t="s">
        <v>108</v>
      </c>
      <c r="AM14" s="10" t="s">
        <v>256</v>
      </c>
      <c r="AN14" s="10" t="s">
        <v>257</v>
      </c>
      <c r="AO14" s="10" t="s">
        <v>258</v>
      </c>
      <c r="AP14" s="10" t="s">
        <v>259</v>
      </c>
      <c r="AQ14" s="10" t="s">
        <v>260</v>
      </c>
      <c r="AR14" s="13" t="n">
        <v>56.9500008338214</v>
      </c>
      <c r="AS14" s="13" t="n">
        <v>25</v>
      </c>
      <c r="AT14" s="10" t="n">
        <v>27.2079443834126</v>
      </c>
      <c r="AU14" s="10" t="n">
        <v>0.33</v>
      </c>
      <c r="AV14" s="10" t="n">
        <v>0.219</v>
      </c>
      <c r="AW14" s="10" t="n">
        <v>80.35294</v>
      </c>
      <c r="AX14" s="10" t="n">
        <v>25.871944</v>
      </c>
      <c r="AY14" s="10" t="n">
        <v>100</v>
      </c>
      <c r="AZ14" s="10" t="n">
        <v>65.0003184104948</v>
      </c>
      <c r="BA14" s="10" t="n">
        <v>100</v>
      </c>
      <c r="BB14" s="10"/>
      <c r="BC14" s="10" t="s">
        <v>114</v>
      </c>
      <c r="BD14" s="10" t="s">
        <v>157</v>
      </c>
      <c r="BE14" s="10"/>
      <c r="BF14" s="10"/>
      <c r="BG14" s="10" t="s">
        <v>116</v>
      </c>
      <c r="BH14" s="10" t="s">
        <v>117</v>
      </c>
      <c r="BQ14" s="5" t="n">
        <v>65.0003184104948</v>
      </c>
      <c r="BT14" s="5" t="n">
        <v>65.0003184104948</v>
      </c>
    </row>
    <row r="15" customFormat="false" ht="15" hidden="true" customHeight="true" outlineLevel="0" collapsed="false">
      <c r="A15" s="10" t="n">
        <v>14</v>
      </c>
      <c r="B15" s="10" t="s">
        <v>261</v>
      </c>
      <c r="C15" s="10" t="s">
        <v>262</v>
      </c>
      <c r="D15" s="10" t="s">
        <v>96</v>
      </c>
      <c r="E15" s="10" t="s">
        <v>97</v>
      </c>
      <c r="F15" s="10" t="n">
        <v>1287188381696</v>
      </c>
      <c r="G15" s="10" t="s">
        <v>9</v>
      </c>
      <c r="H15" s="10" t="s">
        <v>198</v>
      </c>
      <c r="I15" s="10" t="n">
        <v>62</v>
      </c>
      <c r="J15" s="10" t="n">
        <v>0</v>
      </c>
      <c r="K15" s="10" t="n">
        <v>75</v>
      </c>
      <c r="L15" s="10" t="n">
        <v>100</v>
      </c>
      <c r="M15" s="10" t="s">
        <v>263</v>
      </c>
      <c r="N15" s="10" t="s">
        <v>101</v>
      </c>
      <c r="O15" s="10" t="s">
        <v>264</v>
      </c>
      <c r="P15" s="10" t="n">
        <v>25.3</v>
      </c>
      <c r="Q15" s="10" t="n">
        <v>3.16</v>
      </c>
      <c r="R15" s="10" t="n">
        <v>2.66</v>
      </c>
      <c r="S15" s="10" t="n">
        <v>17.098301028655</v>
      </c>
      <c r="T15" s="10" t="n">
        <v>15.9952787844532</v>
      </c>
      <c r="U15" s="10" t="n">
        <v>21.1858258368486</v>
      </c>
      <c r="V15" s="10" t="n">
        <v>0.1</v>
      </c>
      <c r="W15" s="10" t="n">
        <v>4.33524118829151</v>
      </c>
      <c r="X15" s="10" t="n">
        <v>8.46</v>
      </c>
      <c r="Y15" s="10" t="n">
        <v>8</v>
      </c>
      <c r="Z15" s="10" t="s">
        <v>176</v>
      </c>
      <c r="AA15" s="10" t="s">
        <v>104</v>
      </c>
      <c r="AB15" s="10" t="s">
        <v>105</v>
      </c>
      <c r="AC15" s="11" t="n">
        <v>720.51292783273</v>
      </c>
      <c r="AD15" s="12" t="n">
        <v>1410</v>
      </c>
      <c r="AE15" s="11" t="n">
        <v>900.641159790913</v>
      </c>
      <c r="AF15" s="13" t="n">
        <v>-61.3406165378165</v>
      </c>
      <c r="AG15" s="15" t="n">
        <v>2.1360059695849</v>
      </c>
      <c r="AH15" s="14" t="n">
        <v>21360.059695849</v>
      </c>
      <c r="AI15" s="10" t="s">
        <v>9</v>
      </c>
      <c r="AJ15" s="10" t="s">
        <v>177</v>
      </c>
      <c r="AK15" s="10" t="s">
        <v>178</v>
      </c>
      <c r="AL15" s="10" t="s">
        <v>108</v>
      </c>
      <c r="AM15" s="10" t="s">
        <v>265</v>
      </c>
      <c r="AN15" s="10" t="s">
        <v>266</v>
      </c>
      <c r="AO15" s="10" t="s">
        <v>267</v>
      </c>
      <c r="AP15" s="10" t="s">
        <v>268</v>
      </c>
      <c r="AQ15" s="10" t="s">
        <v>269</v>
      </c>
      <c r="AR15" s="13" t="n">
        <v>54.0600005364705</v>
      </c>
      <c r="AS15" s="13" t="n">
        <v>5</v>
      </c>
      <c r="AT15" s="10" t="n">
        <v>16.6600288529581</v>
      </c>
      <c r="AU15" s="10" t="n">
        <v>3.57</v>
      </c>
      <c r="AV15" s="10" t="n">
        <v>0.173</v>
      </c>
      <c r="AW15" s="10" t="n">
        <v>26.879393</v>
      </c>
      <c r="AX15" s="10" t="n">
        <v>4.3452907</v>
      </c>
      <c r="AY15" s="10" t="n">
        <v>100</v>
      </c>
      <c r="AZ15" s="10" t="n">
        <v>2.422892354069</v>
      </c>
      <c r="BA15" s="10" t="n">
        <v>100</v>
      </c>
      <c r="BB15" s="10"/>
      <c r="BC15" s="10" t="s">
        <v>114</v>
      </c>
      <c r="BD15" s="10" t="s">
        <v>157</v>
      </c>
      <c r="BE15" s="10"/>
      <c r="BF15" s="10"/>
      <c r="BG15" s="10" t="s">
        <v>116</v>
      </c>
      <c r="BH15" s="10" t="s">
        <v>117</v>
      </c>
      <c r="BJ15" s="5" t="s">
        <v>143</v>
      </c>
      <c r="BK15" s="5" t="s">
        <v>270</v>
      </c>
      <c r="BQ15" s="5" t="n">
        <v>2.422892354069</v>
      </c>
      <c r="BT15" s="5" t="n">
        <v>2.422892354069</v>
      </c>
    </row>
    <row r="16" customFormat="false" ht="15" hidden="true" customHeight="true" outlineLevel="0" collapsed="false">
      <c r="A16" s="10" t="n">
        <v>15</v>
      </c>
      <c r="B16" s="10" t="s">
        <v>271</v>
      </c>
      <c r="C16" s="10" t="s">
        <v>272</v>
      </c>
      <c r="D16" s="10" t="s">
        <v>147</v>
      </c>
      <c r="E16" s="10" t="s">
        <v>273</v>
      </c>
      <c r="F16" s="10" t="n">
        <v>5409091878912</v>
      </c>
      <c r="G16" s="10" t="s">
        <v>9</v>
      </c>
      <c r="H16" s="10" t="s">
        <v>143</v>
      </c>
      <c r="I16" s="15" t="n">
        <v>27</v>
      </c>
      <c r="J16" s="15" t="n">
        <v>9.10620354116837</v>
      </c>
      <c r="K16" s="10" t="n">
        <v>55</v>
      </c>
      <c r="L16" s="10" t="n">
        <v>100</v>
      </c>
      <c r="M16" s="10" t="s">
        <v>274</v>
      </c>
      <c r="N16" s="10" t="s">
        <v>101</v>
      </c>
      <c r="O16" s="10" t="s">
        <v>275</v>
      </c>
      <c r="P16" s="10" t="n">
        <v>33.8</v>
      </c>
      <c r="Q16" s="10" t="n">
        <v>2.82</v>
      </c>
      <c r="R16" s="10" t="n">
        <v>2.5</v>
      </c>
      <c r="S16" s="10" t="n">
        <v>24.7595690778288</v>
      </c>
      <c r="T16" s="10" t="n">
        <v>12.5137574392872</v>
      </c>
      <c r="U16" s="10" t="n">
        <v>13.6683898304272</v>
      </c>
      <c r="V16" s="10" t="n">
        <v>1.12</v>
      </c>
      <c r="W16" s="10" t="n">
        <v>1.78018343262612</v>
      </c>
      <c r="X16" s="10" t="n">
        <v>12</v>
      </c>
      <c r="Y16" s="10" t="n">
        <v>12</v>
      </c>
      <c r="Z16" s="10" t="s">
        <v>176</v>
      </c>
      <c r="AA16" s="10" t="s">
        <v>104</v>
      </c>
      <c r="AB16" s="10" t="s">
        <v>212</v>
      </c>
      <c r="AC16" s="11" t="n">
        <v>1887.80272636847</v>
      </c>
      <c r="AD16" s="12" t="n">
        <v>3693</v>
      </c>
      <c r="AE16" s="11" t="n">
        <v>2359.75340796058</v>
      </c>
      <c r="AF16" s="13" t="n">
        <v>-66.6191046376349</v>
      </c>
      <c r="AG16" s="15" t="n">
        <v>0.0283377540664614</v>
      </c>
      <c r="AH16" s="14" t="n">
        <v>283.377540664614</v>
      </c>
      <c r="AI16" s="10" t="s">
        <v>213</v>
      </c>
      <c r="AJ16" s="10" t="s">
        <v>177</v>
      </c>
      <c r="AK16" s="10" t="s">
        <v>178</v>
      </c>
      <c r="AL16" s="10" t="s">
        <v>108</v>
      </c>
      <c r="AM16" s="10" t="s">
        <v>276</v>
      </c>
      <c r="AN16" s="10" t="s">
        <v>277</v>
      </c>
      <c r="AO16" s="10" t="s">
        <v>278</v>
      </c>
      <c r="AP16" s="10" t="s">
        <v>279</v>
      </c>
      <c r="AQ16" s="10" t="s">
        <v>280</v>
      </c>
      <c r="AR16" s="13" t="n">
        <v>116.580002085026</v>
      </c>
      <c r="AS16" s="13" t="n">
        <v>12.0206624909</v>
      </c>
      <c r="AT16" s="10" t="n">
        <v>20.2414943211579</v>
      </c>
      <c r="AU16" s="10" t="n">
        <v>0.98</v>
      </c>
      <c r="AV16" s="10" t="n">
        <v>0.46</v>
      </c>
      <c r="AW16" s="10" t="n">
        <v>33.726196</v>
      </c>
      <c r="AX16" s="10" t="n">
        <v>4.94896</v>
      </c>
      <c r="AY16" s="10" t="n">
        <v>100</v>
      </c>
      <c r="AZ16" s="10" t="n">
        <v>32.5466404357898</v>
      </c>
      <c r="BA16" s="10" t="n">
        <v>100</v>
      </c>
      <c r="BB16" s="10"/>
      <c r="BC16" s="10" t="s">
        <v>114</v>
      </c>
      <c r="BD16" s="10" t="s">
        <v>157</v>
      </c>
      <c r="BE16" s="10"/>
      <c r="BF16" s="10"/>
      <c r="BG16" s="10" t="s">
        <v>116</v>
      </c>
      <c r="BH16" s="10" t="s">
        <v>117</v>
      </c>
      <c r="BJ16" s="5" t="s">
        <v>114</v>
      </c>
      <c r="BK16" s="5" t="s">
        <v>281</v>
      </c>
      <c r="BQ16" s="5" t="n">
        <v>32.5466404357898</v>
      </c>
      <c r="BT16" s="5" t="n">
        <v>32.5466404357898</v>
      </c>
    </row>
    <row r="17" customFormat="false" ht="15" hidden="true" customHeight="true" outlineLevel="0" collapsed="false">
      <c r="A17" s="10" t="n">
        <v>16</v>
      </c>
      <c r="B17" s="10" t="s">
        <v>282</v>
      </c>
      <c r="C17" s="10" t="s">
        <v>283</v>
      </c>
      <c r="D17" s="10" t="s">
        <v>96</v>
      </c>
      <c r="E17" s="10" t="s">
        <v>284</v>
      </c>
      <c r="F17" s="10" t="n">
        <v>115824861184</v>
      </c>
      <c r="G17" s="10" t="s">
        <v>9</v>
      </c>
      <c r="H17" s="10" t="s">
        <v>198</v>
      </c>
      <c r="I17" s="10" t="n">
        <v>41</v>
      </c>
      <c r="J17" s="10" t="n">
        <v>0</v>
      </c>
      <c r="K17" s="10" t="n">
        <v>70</v>
      </c>
      <c r="L17" s="10" t="n">
        <v>100</v>
      </c>
      <c r="M17" s="10" t="s">
        <v>285</v>
      </c>
      <c r="N17" s="10" t="s">
        <v>101</v>
      </c>
      <c r="O17" s="10" t="s">
        <v>286</v>
      </c>
      <c r="P17" s="10" t="n">
        <v>100</v>
      </c>
      <c r="Q17" s="10" t="n">
        <v>2.05</v>
      </c>
      <c r="R17" s="10" t="n">
        <v>1.99</v>
      </c>
      <c r="S17" s="10"/>
      <c r="T17" s="10" t="n">
        <v>15.6498846481596</v>
      </c>
      <c r="U17" s="10" t="n">
        <v>18.1829538386265</v>
      </c>
      <c r="V17" s="10" t="n">
        <v>0.15</v>
      </c>
      <c r="W17" s="10"/>
      <c r="X17" s="10" t="n">
        <v>18.4</v>
      </c>
      <c r="Y17" s="10" t="n">
        <v>48.7</v>
      </c>
      <c r="Z17" s="10" t="s">
        <v>176</v>
      </c>
      <c r="AA17" s="10" t="s">
        <v>104</v>
      </c>
      <c r="AB17" s="10" t="s">
        <v>201</v>
      </c>
      <c r="AC17" s="11" t="n">
        <v>51.8703252074727</v>
      </c>
      <c r="AD17" s="12" t="n">
        <v>1800</v>
      </c>
      <c r="AE17" s="11" t="n">
        <v>64.8379065093409</v>
      </c>
      <c r="AF17" s="13" t="n">
        <v>-2573.74456291282</v>
      </c>
      <c r="AG17" s="15" t="n">
        <v>0.805381150830505</v>
      </c>
      <c r="AH17" s="14" t="n">
        <v>8053.81150830505</v>
      </c>
      <c r="AI17" s="10" t="s">
        <v>287</v>
      </c>
      <c r="AJ17" s="10" t="s">
        <v>177</v>
      </c>
      <c r="AK17" s="10" t="s">
        <v>178</v>
      </c>
      <c r="AL17" s="10" t="s">
        <v>108</v>
      </c>
      <c r="AM17" s="10" t="s">
        <v>288</v>
      </c>
      <c r="AN17" s="10" t="s">
        <v>289</v>
      </c>
      <c r="AO17" s="10" t="s">
        <v>290</v>
      </c>
      <c r="AP17" s="10" t="s">
        <v>291</v>
      </c>
      <c r="AQ17" s="10" t="s">
        <v>183</v>
      </c>
      <c r="AR17" s="13" t="n">
        <v>16.7999984462429</v>
      </c>
      <c r="AS17" s="13" t="n">
        <v>16.943</v>
      </c>
      <c r="AT17" s="10" t="n">
        <v>3.85939919698458</v>
      </c>
      <c r="AU17" s="10"/>
      <c r="AV17" s="10"/>
      <c r="AW17" s="10" t="n">
        <v>103.19048</v>
      </c>
      <c r="AX17" s="10" t="n">
        <v>16.0468</v>
      </c>
      <c r="AY17" s="10" t="n">
        <v>75</v>
      </c>
      <c r="AZ17" s="10" t="n">
        <v>9.83425822646834</v>
      </c>
      <c r="BA17" s="10" t="n">
        <v>75</v>
      </c>
      <c r="BB17" s="10"/>
      <c r="BC17" s="10" t="s">
        <v>114</v>
      </c>
      <c r="BD17" s="10" t="s">
        <v>157</v>
      </c>
      <c r="BE17" s="10"/>
      <c r="BF17" s="10"/>
      <c r="BG17" s="10" t="s">
        <v>184</v>
      </c>
      <c r="BH17" s="10" t="s">
        <v>117</v>
      </c>
      <c r="BQ17" s="5" t="n">
        <v>9.83425822646834</v>
      </c>
      <c r="BT17" s="5" t="n">
        <v>9.83425822646834</v>
      </c>
    </row>
    <row r="18" customFormat="false" ht="15" hidden="true" customHeight="true" outlineLevel="0" collapsed="false">
      <c r="A18" s="10" t="n">
        <v>17</v>
      </c>
      <c r="B18" s="10" t="s">
        <v>292</v>
      </c>
      <c r="C18" s="10" t="s">
        <v>293</v>
      </c>
      <c r="D18" s="10" t="s">
        <v>147</v>
      </c>
      <c r="E18" s="10" t="s">
        <v>173</v>
      </c>
      <c r="F18" s="10" t="n">
        <v>1450555867136</v>
      </c>
      <c r="G18" s="10" t="s">
        <v>9</v>
      </c>
      <c r="H18" s="10" t="s">
        <v>198</v>
      </c>
      <c r="I18" s="10" t="n">
        <v>40.5</v>
      </c>
      <c r="J18" s="10" t="n">
        <v>0</v>
      </c>
      <c r="K18" s="10" t="n">
        <v>60</v>
      </c>
      <c r="L18" s="10" t="n">
        <v>100</v>
      </c>
      <c r="M18" s="10" t="s">
        <v>294</v>
      </c>
      <c r="N18" s="10" t="s">
        <v>101</v>
      </c>
      <c r="O18" s="10" t="s">
        <v>295</v>
      </c>
      <c r="P18" s="10" t="n">
        <v>121</v>
      </c>
      <c r="Q18" s="10" t="n">
        <v>4.03</v>
      </c>
      <c r="R18" s="10" t="n">
        <v>3.84</v>
      </c>
      <c r="S18" s="10" t="n">
        <v>100.400079373941</v>
      </c>
      <c r="T18" s="10" t="n">
        <v>14.7137498856463</v>
      </c>
      <c r="U18" s="10" t="n">
        <v>17.0673005953119</v>
      </c>
      <c r="V18" s="10" t="n">
        <v>0.1</v>
      </c>
      <c r="W18" s="10" t="n">
        <v>-0.051901704820861</v>
      </c>
      <c r="X18" s="10" t="n">
        <v>25</v>
      </c>
      <c r="Y18" s="10" t="n">
        <v>30</v>
      </c>
      <c r="Z18" s="10" t="s">
        <v>176</v>
      </c>
      <c r="AA18" s="10" t="s">
        <v>104</v>
      </c>
      <c r="AB18" s="10" t="s">
        <v>105</v>
      </c>
      <c r="AC18" s="11" t="n">
        <v>64.2144447614247</v>
      </c>
      <c r="AD18" s="12" t="n">
        <v>965</v>
      </c>
      <c r="AE18" s="11" t="n">
        <v>80.2680559517808</v>
      </c>
      <c r="AF18" s="13" t="n">
        <v>-1047.40538945315</v>
      </c>
      <c r="AG18" s="15" t="n">
        <v>0.741456322052803</v>
      </c>
      <c r="AH18" s="14" t="n">
        <v>7414.56322052803</v>
      </c>
      <c r="AI18" s="10" t="s">
        <v>9</v>
      </c>
      <c r="AJ18" s="10" t="s">
        <v>177</v>
      </c>
      <c r="AK18" s="10" t="s">
        <v>178</v>
      </c>
      <c r="AL18" s="10" t="s">
        <v>108</v>
      </c>
      <c r="AM18" s="10" t="s">
        <v>296</v>
      </c>
      <c r="AN18" s="10" t="s">
        <v>297</v>
      </c>
      <c r="AO18" s="10" t="s">
        <v>298</v>
      </c>
      <c r="AP18" s="10" t="s">
        <v>299</v>
      </c>
      <c r="AQ18" s="10" t="s">
        <v>300</v>
      </c>
      <c r="AR18" s="13" t="n">
        <v>7.73999982817047</v>
      </c>
      <c r="AS18" s="13" t="n">
        <v>16.2591032</v>
      </c>
      <c r="AT18" s="10" t="n">
        <v>10.3705498645712</v>
      </c>
      <c r="AU18" s="10" t="n">
        <v>0.14</v>
      </c>
      <c r="AV18" s="10" t="n">
        <v>0.407</v>
      </c>
      <c r="AW18" s="10" t="n">
        <v>118.99225</v>
      </c>
      <c r="AX18" s="10" t="n">
        <v>18.198343</v>
      </c>
      <c r="AY18" s="10" t="n">
        <v>50</v>
      </c>
      <c r="AZ18" s="10" t="n">
        <v>0.481850801492188</v>
      </c>
      <c r="BA18" s="10" t="n">
        <v>50</v>
      </c>
      <c r="BB18" s="10"/>
      <c r="BC18" s="10" t="s">
        <v>114</v>
      </c>
      <c r="BD18" s="10" t="s">
        <v>157</v>
      </c>
      <c r="BE18" s="10"/>
      <c r="BF18" s="10"/>
      <c r="BG18" s="10" t="s">
        <v>184</v>
      </c>
      <c r="BH18" s="10" t="s">
        <v>117</v>
      </c>
      <c r="BQ18" s="5" t="n">
        <v>0.481850801492188</v>
      </c>
      <c r="BT18" s="5" t="n">
        <v>0.481850801492188</v>
      </c>
    </row>
    <row r="19" customFormat="false" ht="15" hidden="true" customHeight="true" outlineLevel="0" collapsed="false">
      <c r="A19" s="10" t="n">
        <v>18</v>
      </c>
      <c r="B19" s="10" t="s">
        <v>301</v>
      </c>
      <c r="C19" s="10" t="s">
        <v>302</v>
      </c>
      <c r="D19" s="10" t="s">
        <v>96</v>
      </c>
      <c r="E19" s="10" t="s">
        <v>303</v>
      </c>
      <c r="F19" s="10" t="n">
        <v>97688657920</v>
      </c>
      <c r="G19" s="10" t="s">
        <v>9</v>
      </c>
      <c r="H19" s="10" t="s">
        <v>198</v>
      </c>
      <c r="I19" s="10" t="n">
        <v>0</v>
      </c>
      <c r="J19" s="10" t="n">
        <v>0</v>
      </c>
      <c r="K19" s="10" t="n">
        <v>70</v>
      </c>
      <c r="L19" s="10" t="n">
        <v>90</v>
      </c>
      <c r="M19" s="10" t="s">
        <v>304</v>
      </c>
      <c r="N19" s="10" t="s">
        <v>101</v>
      </c>
      <c r="O19" s="10" t="s">
        <v>305</v>
      </c>
      <c r="P19" s="10" t="s">
        <v>306</v>
      </c>
      <c r="Q19" s="10"/>
      <c r="R19" s="10"/>
      <c r="S19" s="10"/>
      <c r="T19" s="10" t="n">
        <v>-31.0109284956344</v>
      </c>
      <c r="U19" s="10" t="n">
        <v>-29.3683699950399</v>
      </c>
      <c r="V19" s="10" t="n">
        <v>0.9</v>
      </c>
      <c r="W19" s="10" t="n">
        <v>-5.4084058722088</v>
      </c>
      <c r="X19" s="10" t="n">
        <v>-88</v>
      </c>
      <c r="Y19" s="10" t="n">
        <v>-88</v>
      </c>
      <c r="Z19" s="10" t="s">
        <v>176</v>
      </c>
      <c r="AA19" s="10" t="s">
        <v>104</v>
      </c>
      <c r="AB19" s="10" t="s">
        <v>105</v>
      </c>
      <c r="AC19" s="11"/>
      <c r="AD19" s="12" t="n">
        <v>602</v>
      </c>
      <c r="AE19" s="11"/>
      <c r="AF19" s="13" t="str">
        <f aca="false">IF(OR(NOT(ISNUMBER(AE19)),AE19&lt;=0,AD19=""),"",ROUND((AE19-AD19)/AE19*100,1))</f>
        <v/>
      </c>
      <c r="AG19" s="15" t="str">
        <f aca="false">IF(H19="Fail","Not Eligible (Failed Gate)",IF(J19="","Pending Score",IF(J19&gt;=90,"10%",IF(J19&gt;=80,"7.5%",IF(J19&gt;=70,"5%","Watchlist only")))))</f>
        <v>Not Eligible (Failed Gate)</v>
      </c>
      <c r="AH19" s="14" t="str">
        <f aca="false">IFERROR(ROUND(VALUE(SUBSTITUTE(AG19,"%",""))/100*Dashboard!$B$11,0),"")</f>
        <v/>
      </c>
      <c r="AI19" s="10" t="s">
        <v>307</v>
      </c>
      <c r="AJ19" s="10" t="s">
        <v>177</v>
      </c>
      <c r="AK19" s="10" t="s">
        <v>178</v>
      </c>
      <c r="AL19" s="10" t="s">
        <v>108</v>
      </c>
      <c r="AM19" s="10" t="s">
        <v>308</v>
      </c>
      <c r="AN19" s="10" t="s">
        <v>309</v>
      </c>
      <c r="AO19" s="10" t="s">
        <v>310</v>
      </c>
      <c r="AP19" s="10" t="s">
        <v>311</v>
      </c>
      <c r="AQ19" s="10" t="s">
        <v>183</v>
      </c>
      <c r="AR19" s="13" t="str">
        <f aca="false">IFERROR(ROUND(AD19/P19,2),"N/A")</f>
        <v>N/A</v>
      </c>
      <c r="AS19" s="13" t="n">
        <v>5</v>
      </c>
      <c r="AT19" s="10" t="str">
        <f aca="false">IFERROR(IF(OR(T19="",T19=0,AR19="N/A",T19-AS19&lt;3),"N/A",ROUND((1-(AS19/T19))*100/(Dashboard!$B$14-AS19),1)),"N/A")</f>
        <v>N/A</v>
      </c>
      <c r="AU19" s="10" t="n">
        <v>0.42</v>
      </c>
      <c r="AV19" s="10" t="n">
        <v>-0.26</v>
      </c>
      <c r="AW19" s="10"/>
      <c r="AX19" s="10" t="n">
        <v>3.335456</v>
      </c>
      <c r="AY19" s="10" t="n">
        <v>0</v>
      </c>
      <c r="AZ19" s="10" t="n">
        <v>47.5067130237779</v>
      </c>
      <c r="BA19" s="10" t="n">
        <v>0</v>
      </c>
      <c r="BB19" s="10"/>
      <c r="BC19" s="10" t="s">
        <v>312</v>
      </c>
      <c r="BD19" s="10" t="s">
        <v>157</v>
      </c>
      <c r="BE19" s="10"/>
      <c r="BF19" s="10"/>
      <c r="BG19" s="10"/>
      <c r="BH19" s="10" t="s">
        <v>313</v>
      </c>
      <c r="BJ19" s="5" t="s">
        <v>143</v>
      </c>
      <c r="BK19" s="5" t="s">
        <v>314</v>
      </c>
      <c r="BQ19" s="5" t="n">
        <v>47.5067130237779</v>
      </c>
      <c r="BT19" s="5" t="n">
        <v>47.5067130237779</v>
      </c>
    </row>
    <row r="20" customFormat="false" ht="15" hidden="true" customHeight="true" outlineLevel="0" collapsed="false">
      <c r="A20" s="10" t="n">
        <v>19</v>
      </c>
      <c r="B20" s="10" t="s">
        <v>315</v>
      </c>
      <c r="C20" s="10" t="s">
        <v>316</v>
      </c>
      <c r="D20" s="10" t="s">
        <v>317</v>
      </c>
      <c r="E20" s="10" t="s">
        <v>318</v>
      </c>
      <c r="F20" s="10" t="n">
        <v>262528548864</v>
      </c>
      <c r="G20" s="10" t="s">
        <v>9</v>
      </c>
      <c r="H20" s="10" t="s">
        <v>198</v>
      </c>
      <c r="I20" s="10" t="n">
        <v>35</v>
      </c>
      <c r="J20" s="10" t="n">
        <v>0</v>
      </c>
      <c r="K20" s="10" t="n">
        <v>65</v>
      </c>
      <c r="L20" s="10" t="n">
        <v>100</v>
      </c>
      <c r="M20" s="10" t="s">
        <v>319</v>
      </c>
      <c r="N20" s="10" t="s">
        <v>101</v>
      </c>
      <c r="O20" s="10" t="s">
        <v>320</v>
      </c>
      <c r="P20" s="10" t="n">
        <v>26</v>
      </c>
      <c r="Q20" s="10" t="n">
        <v>0.59</v>
      </c>
      <c r="R20" s="10" t="n">
        <v>0.57</v>
      </c>
      <c r="S20" s="10" t="n">
        <v>33.4366948673477</v>
      </c>
      <c r="T20" s="10" t="n">
        <v>9.85965288109011</v>
      </c>
      <c r="U20" s="10" t="n">
        <v>5.18730734217609</v>
      </c>
      <c r="V20" s="10" t="n">
        <v>0.65</v>
      </c>
      <c r="W20" s="10" t="n">
        <v>-9.27345452983022</v>
      </c>
      <c r="X20" s="10" t="n">
        <v>42.3</v>
      </c>
      <c r="Y20" s="10" t="n">
        <v>44</v>
      </c>
      <c r="Z20" s="10" t="s">
        <v>176</v>
      </c>
      <c r="AA20" s="10" t="s">
        <v>104</v>
      </c>
      <c r="AB20" s="10" t="s">
        <v>105</v>
      </c>
      <c r="AC20" s="11" t="n">
        <v>53.8350165832645</v>
      </c>
      <c r="AD20" s="12" t="n">
        <v>270</v>
      </c>
      <c r="AE20" s="11" t="n">
        <v>67.2937707290806</v>
      </c>
      <c r="AF20" s="13" t="n">
        <v>-452.354246125447</v>
      </c>
      <c r="AG20" s="15" t="str">
        <f aca="false">IF(H20="Fail","Not Eligible (Failed Gate)",IF(J20="","Pending Score",IF(J20&gt;=90,"10%",IF(J20&gt;=80,"7.5%",IF(J20&gt;=70,"5%","Watchlist only")))))</f>
        <v>Not Eligible (Failed Gate)</v>
      </c>
      <c r="AH20" s="14" t="str">
        <f aca="false">IFERROR(ROUND(VALUE(SUBSTITUTE(AG20,"%",""))/100*Dashboard!$B$11,0),"")</f>
        <v/>
      </c>
      <c r="AI20" s="10" t="s">
        <v>9</v>
      </c>
      <c r="AJ20" s="10" t="s">
        <v>177</v>
      </c>
      <c r="AK20" s="10" t="s">
        <v>178</v>
      </c>
      <c r="AL20" s="10" t="s">
        <v>108</v>
      </c>
      <c r="AM20" s="10" t="s">
        <v>321</v>
      </c>
      <c r="AN20" s="10" t="s">
        <v>322</v>
      </c>
      <c r="AO20" s="10" t="s">
        <v>323</v>
      </c>
      <c r="AP20" s="10" t="s">
        <v>324</v>
      </c>
      <c r="AQ20" s="10" t="s">
        <v>325</v>
      </c>
      <c r="AR20" s="13" t="n">
        <v>8.14999980364135</v>
      </c>
      <c r="AS20" s="13" t="n">
        <v>9.896105979188</v>
      </c>
      <c r="AT20" s="10" t="n">
        <v>8.25690438393627</v>
      </c>
      <c r="AU20" s="10" t="n">
        <v>0.05</v>
      </c>
      <c r="AV20" s="10"/>
      <c r="AW20" s="10" t="n">
        <v>45.607365</v>
      </c>
      <c r="AX20" s="10" t="n">
        <v>4.448248</v>
      </c>
      <c r="AY20" s="10" t="n">
        <v>50</v>
      </c>
      <c r="AZ20" s="10" t="n">
        <v>100</v>
      </c>
      <c r="BA20" s="10" t="n">
        <v>50</v>
      </c>
      <c r="BB20" s="10"/>
      <c r="BC20" s="10" t="s">
        <v>114</v>
      </c>
      <c r="BD20" s="10" t="s">
        <v>157</v>
      </c>
      <c r="BE20" s="10"/>
      <c r="BF20" s="10"/>
      <c r="BG20" s="10" t="s">
        <v>184</v>
      </c>
      <c r="BH20" s="10" t="s">
        <v>117</v>
      </c>
      <c r="BJ20" s="5" t="s">
        <v>114</v>
      </c>
      <c r="BK20" s="5" t="s">
        <v>326</v>
      </c>
      <c r="BQ20" s="5" t="n">
        <v>100</v>
      </c>
      <c r="BT20" s="5" t="n">
        <v>100</v>
      </c>
    </row>
    <row r="21" customFormat="false" ht="15" hidden="true" customHeight="true" outlineLevel="0" collapsed="false">
      <c r="A21" s="10" t="n">
        <v>20</v>
      </c>
      <c r="B21" s="10" t="s">
        <v>327</v>
      </c>
      <c r="C21" s="10" t="s">
        <v>328</v>
      </c>
      <c r="D21" s="10" t="s">
        <v>252</v>
      </c>
      <c r="E21" s="10" t="s">
        <v>329</v>
      </c>
      <c r="F21" s="10" t="n">
        <v>13706356736</v>
      </c>
      <c r="G21" s="10" t="s">
        <v>9</v>
      </c>
      <c r="H21" s="10" t="s">
        <v>198</v>
      </c>
      <c r="I21" s="10" t="n">
        <v>34</v>
      </c>
      <c r="J21" s="10" t="n">
        <v>0</v>
      </c>
      <c r="K21" s="10" t="n">
        <v>70</v>
      </c>
      <c r="L21" s="10" t="n">
        <v>100</v>
      </c>
      <c r="M21" s="10" t="s">
        <v>330</v>
      </c>
      <c r="N21" s="10" t="s">
        <v>101</v>
      </c>
      <c r="O21" s="10" t="s">
        <v>331</v>
      </c>
      <c r="P21" s="10" t="n">
        <v>33</v>
      </c>
      <c r="Q21" s="10" t="n">
        <v>6.6</v>
      </c>
      <c r="R21" s="10" t="n">
        <v>5.08</v>
      </c>
      <c r="S21" s="10" t="n">
        <v>22.8313878939348</v>
      </c>
      <c r="T21" s="10" t="n">
        <v>8.62220227286638</v>
      </c>
      <c r="U21" s="10" t="n">
        <v>11.963100707358</v>
      </c>
      <c r="V21" s="10" t="n">
        <v>0.2</v>
      </c>
      <c r="W21" s="10" t="n">
        <v>2.43426146815433</v>
      </c>
      <c r="X21" s="10" t="n">
        <v>2</v>
      </c>
      <c r="Y21" s="10" t="n">
        <v>5</v>
      </c>
      <c r="Z21" s="10" t="s">
        <v>176</v>
      </c>
      <c r="AA21" s="10" t="s">
        <v>104</v>
      </c>
      <c r="AB21" s="10" t="s">
        <v>201</v>
      </c>
      <c r="AC21" s="11" t="n">
        <v>298.785270481366</v>
      </c>
      <c r="AD21" s="12" t="n">
        <v>495</v>
      </c>
      <c r="AE21" s="11" t="n">
        <v>373.481588101707</v>
      </c>
      <c r="AF21" s="13" t="n">
        <v>-32.2421280551856</v>
      </c>
      <c r="AG21" s="15" t="n">
        <v>0.918510983833304</v>
      </c>
      <c r="AH21" s="14" t="n">
        <v>9185.10983833304</v>
      </c>
      <c r="AI21" s="10" t="s">
        <v>287</v>
      </c>
      <c r="AJ21" s="10" t="s">
        <v>177</v>
      </c>
      <c r="AK21" s="10" t="s">
        <v>178</v>
      </c>
      <c r="AL21" s="10" t="s">
        <v>108</v>
      </c>
      <c r="AM21" s="10" t="s">
        <v>332</v>
      </c>
      <c r="AN21" s="10" t="s">
        <v>333</v>
      </c>
      <c r="AO21" s="10" t="s">
        <v>334</v>
      </c>
      <c r="AP21" s="10" t="s">
        <v>335</v>
      </c>
      <c r="AQ21" s="10" t="s">
        <v>336</v>
      </c>
      <c r="AR21" s="13" t="n">
        <v>15.2200012819438</v>
      </c>
      <c r="AS21" s="13" t="n">
        <v>10</v>
      </c>
      <c r="AT21" s="10" t="n">
        <v>24.538869126262</v>
      </c>
      <c r="AU21" s="10"/>
      <c r="AV21" s="10" t="n">
        <v>0.623</v>
      </c>
      <c r="AW21" s="10" t="n">
        <v>32.45072</v>
      </c>
      <c r="AX21" s="10" t="n">
        <v>5.988409</v>
      </c>
      <c r="AY21" s="10" t="n">
        <v>75</v>
      </c>
      <c r="AZ21" s="10" t="n">
        <v>9.83140527343086</v>
      </c>
      <c r="BA21" s="10" t="n">
        <v>75</v>
      </c>
      <c r="BB21" s="10"/>
      <c r="BC21" s="10" t="s">
        <v>114</v>
      </c>
      <c r="BD21" s="10" t="s">
        <v>157</v>
      </c>
      <c r="BE21" s="10"/>
      <c r="BF21" s="10"/>
      <c r="BG21" s="10" t="s">
        <v>337</v>
      </c>
      <c r="BH21" s="10" t="s">
        <v>117</v>
      </c>
      <c r="BJ21" s="5" t="s">
        <v>143</v>
      </c>
      <c r="BK21" s="5" t="s">
        <v>338</v>
      </c>
      <c r="BQ21" s="5" t="n">
        <v>9.83140527343086</v>
      </c>
      <c r="BT21" s="5" t="n">
        <v>9.83140527343086</v>
      </c>
    </row>
    <row r="22" customFormat="false" ht="15" hidden="true" customHeight="true" outlineLevel="0" collapsed="false">
      <c r="A22" s="10" t="n">
        <v>21</v>
      </c>
      <c r="B22" s="10" t="s">
        <v>339</v>
      </c>
      <c r="C22" s="10" t="s">
        <v>340</v>
      </c>
      <c r="D22" s="10" t="s">
        <v>252</v>
      </c>
      <c r="E22" s="10" t="s">
        <v>341</v>
      </c>
      <c r="F22" s="10" t="n">
        <v>47398080512</v>
      </c>
      <c r="G22" s="10" t="s">
        <v>9</v>
      </c>
      <c r="H22" s="10" t="s">
        <v>143</v>
      </c>
      <c r="I22" s="15" t="n">
        <v>10</v>
      </c>
      <c r="J22" s="15" t="n">
        <v>0</v>
      </c>
      <c r="K22" s="10" t="n">
        <v>45</v>
      </c>
      <c r="L22" s="10" t="n">
        <v>100</v>
      </c>
      <c r="M22" s="10" t="s">
        <v>342</v>
      </c>
      <c r="N22" s="10" t="s">
        <v>101</v>
      </c>
      <c r="O22" s="10" t="s">
        <v>343</v>
      </c>
      <c r="P22" s="10" t="n">
        <v>62.7</v>
      </c>
      <c r="Q22" s="10" t="n">
        <v>8.36</v>
      </c>
      <c r="R22" s="10" t="n">
        <v>6.97</v>
      </c>
      <c r="S22" s="10" t="n">
        <v>42.8872518206456</v>
      </c>
      <c r="T22" s="10" t="n">
        <v>8.87026785676687</v>
      </c>
      <c r="U22" s="10" t="n">
        <v>2.23342382333552</v>
      </c>
      <c r="V22" s="10" t="n">
        <v>1.2</v>
      </c>
      <c r="W22" s="10" t="n">
        <v>1.28983996415633</v>
      </c>
      <c r="X22" s="10" t="n">
        <v>7.5</v>
      </c>
      <c r="Y22" s="10" t="n">
        <v>-43</v>
      </c>
      <c r="Z22" s="10" t="s">
        <v>176</v>
      </c>
      <c r="AA22" s="10" t="s">
        <v>104</v>
      </c>
      <c r="AB22" s="10" t="s">
        <v>212</v>
      </c>
      <c r="AC22" s="11" t="n">
        <v>112.007689272922</v>
      </c>
      <c r="AD22" s="12" t="n">
        <v>230</v>
      </c>
      <c r="AE22" s="11" t="n">
        <v>140.009611591153</v>
      </c>
      <c r="AF22" s="13" t="n">
        <v>-67.8599042802082</v>
      </c>
      <c r="AG22" s="15" t="str">
        <f aca="false">IF(H22="Fail","Not Eligible (Failed Gate)",IF(J22="","Pending Score",IF(J22&gt;=90,"10%",IF(J22&gt;=80,"7.5%",IF(J22&gt;=70,"5%","Watchlist only")))))</f>
        <v>Watchlist only</v>
      </c>
      <c r="AH22" s="14" t="str">
        <f aca="false">IFERROR(ROUND(VALUE(SUBSTITUTE(AG22,"%",""))/100*Dashboard!$B$11,0),"")</f>
        <v/>
      </c>
      <c r="AI22" s="10" t="s">
        <v>307</v>
      </c>
      <c r="AJ22" s="10" t="s">
        <v>177</v>
      </c>
      <c r="AK22" s="10" t="s">
        <v>178</v>
      </c>
      <c r="AL22" s="10" t="s">
        <v>108</v>
      </c>
      <c r="AM22" s="10" t="s">
        <v>344</v>
      </c>
      <c r="AN22" s="10" t="s">
        <v>345</v>
      </c>
      <c r="AO22" s="10" t="s">
        <v>346</v>
      </c>
      <c r="AP22" s="10" t="s">
        <v>347</v>
      </c>
      <c r="AQ22" s="10" t="s">
        <v>348</v>
      </c>
      <c r="AR22" s="13" t="n">
        <v>3.4299999651009</v>
      </c>
      <c r="AS22" s="13" t="n">
        <v>8.972</v>
      </c>
      <c r="AT22" s="10" t="n">
        <v>40.8191287437763</v>
      </c>
      <c r="AU22" s="10"/>
      <c r="AV22" s="10" t="n">
        <v>-0.195</v>
      </c>
      <c r="AW22" s="10" t="n">
        <v>68.51895</v>
      </c>
      <c r="AX22" s="10" t="n">
        <v>6.093179</v>
      </c>
      <c r="AY22" s="10" t="n">
        <v>75</v>
      </c>
      <c r="AZ22" s="10" t="n">
        <v>100</v>
      </c>
      <c r="BA22" s="10" t="n">
        <v>75</v>
      </c>
      <c r="BB22" s="10"/>
      <c r="BC22" s="10" t="s">
        <v>114</v>
      </c>
      <c r="BD22" s="10" t="s">
        <v>157</v>
      </c>
      <c r="BE22" s="10"/>
      <c r="BF22" s="10"/>
      <c r="BG22" s="10" t="s">
        <v>116</v>
      </c>
      <c r="BH22" s="10" t="s">
        <v>313</v>
      </c>
      <c r="BQ22" s="5" t="n">
        <v>100</v>
      </c>
      <c r="BT22" s="5" t="n">
        <v>100</v>
      </c>
    </row>
    <row r="23" customFormat="false" ht="15" hidden="true" customHeight="true" outlineLevel="0" collapsed="false">
      <c r="A23" s="10" t="n">
        <v>22</v>
      </c>
      <c r="B23" s="10" t="s">
        <v>349</v>
      </c>
      <c r="C23" s="10" t="s">
        <v>350</v>
      </c>
      <c r="D23" s="10" t="s">
        <v>238</v>
      </c>
      <c r="E23" s="10" t="s">
        <v>351</v>
      </c>
      <c r="F23" s="10" t="n">
        <v>1344131301376</v>
      </c>
      <c r="G23" s="10" t="s">
        <v>9</v>
      </c>
      <c r="H23" s="10" t="s">
        <v>99</v>
      </c>
      <c r="I23" s="15" t="n">
        <v>33.3333333333333</v>
      </c>
      <c r="J23" s="15" t="n">
        <v>30.928542214936</v>
      </c>
      <c r="K23" s="10" t="n">
        <v>50</v>
      </c>
      <c r="L23" s="10" t="n">
        <v>60</v>
      </c>
      <c r="M23" s="10" t="s">
        <v>352</v>
      </c>
      <c r="N23" s="10" t="s">
        <v>353</v>
      </c>
      <c r="O23" s="10" t="s">
        <v>354</v>
      </c>
      <c r="P23" s="10" t="n">
        <v>6.5</v>
      </c>
      <c r="Q23" s="10" t="n">
        <v>0.43</v>
      </c>
      <c r="R23" s="10" t="n">
        <v>0.39</v>
      </c>
      <c r="S23" s="10"/>
      <c r="T23" s="10" t="n">
        <v>14.9335779967161</v>
      </c>
      <c r="U23" s="10" t="n">
        <v>10.26</v>
      </c>
      <c r="V23" s="10" t="n">
        <v>8.25</v>
      </c>
      <c r="W23" s="10" t="n">
        <v>-0.409327172966518</v>
      </c>
      <c r="X23" s="10" t="n">
        <v>10</v>
      </c>
      <c r="Y23" s="10" t="n">
        <v>15</v>
      </c>
      <c r="Z23" s="10" t="s">
        <v>176</v>
      </c>
      <c r="AA23" s="10" t="s">
        <v>104</v>
      </c>
      <c r="AB23" s="10" t="s">
        <v>212</v>
      </c>
      <c r="AC23" s="11" t="n">
        <v>718.385088086919</v>
      </c>
      <c r="AD23" s="12" t="n">
        <v>423</v>
      </c>
      <c r="AE23" s="11" t="n">
        <v>897.981360108649</v>
      </c>
      <c r="AF23" s="13" t="n">
        <v>54.6427110746798</v>
      </c>
      <c r="AG23" s="15" t="n">
        <v>1.88572825845312</v>
      </c>
      <c r="AH23" s="14" t="n">
        <v>18857.2825845312</v>
      </c>
      <c r="AI23" s="10" t="s">
        <v>355</v>
      </c>
      <c r="AJ23" s="10" t="s">
        <v>356</v>
      </c>
      <c r="AK23" s="10" t="s">
        <v>178</v>
      </c>
      <c r="AL23" s="10" t="s">
        <v>108</v>
      </c>
      <c r="AM23" s="10" t="s">
        <v>357</v>
      </c>
      <c r="AN23" s="10" t="s">
        <v>358</v>
      </c>
      <c r="AO23" s="10" t="s">
        <v>359</v>
      </c>
      <c r="AP23" s="10" t="s">
        <v>360</v>
      </c>
      <c r="AQ23" s="10" t="s">
        <v>361</v>
      </c>
      <c r="AR23" s="13" t="n">
        <v>78.5000050206853</v>
      </c>
      <c r="AS23" s="13" t="n">
        <v>16.12516180932</v>
      </c>
      <c r="AT23" s="10" t="n">
        <v>11.4392529950146</v>
      </c>
      <c r="AU23" s="10" t="n">
        <v>3.91</v>
      </c>
      <c r="AV23" s="10" t="n">
        <v>0.62</v>
      </c>
      <c r="AW23" s="10" t="n">
        <v>5.1885347</v>
      </c>
      <c r="AX23" s="10" t="n">
        <v>1.0116062</v>
      </c>
      <c r="AY23" s="10" t="n">
        <v>50</v>
      </c>
      <c r="AZ23" s="10" t="n">
        <v>40</v>
      </c>
      <c r="BA23" s="10" t="n">
        <v>50</v>
      </c>
      <c r="BB23" s="10"/>
      <c r="BC23" s="10" t="s">
        <v>247</v>
      </c>
      <c r="BD23" s="10" t="s">
        <v>157</v>
      </c>
      <c r="BE23" s="10"/>
      <c r="BF23" s="10"/>
      <c r="BG23" s="10" t="s">
        <v>129</v>
      </c>
      <c r="BH23" s="10" t="s">
        <v>117</v>
      </c>
      <c r="BJ23" s="5" t="s">
        <v>143</v>
      </c>
      <c r="BK23" s="5" t="s">
        <v>362</v>
      </c>
      <c r="BQ23" s="5" t="n">
        <v>40</v>
      </c>
      <c r="BT23" s="5" t="n">
        <v>40</v>
      </c>
    </row>
    <row r="24" customFormat="false" ht="15" hidden="true" customHeight="true" outlineLevel="0" collapsed="false">
      <c r="A24" s="10" t="n">
        <v>23</v>
      </c>
      <c r="B24" s="10" t="s">
        <v>363</v>
      </c>
      <c r="C24" s="10" t="s">
        <v>364</v>
      </c>
      <c r="D24" s="10" t="s">
        <v>365</v>
      </c>
      <c r="E24" s="10" t="s">
        <v>366</v>
      </c>
      <c r="F24" s="10" t="n">
        <v>3543960125440</v>
      </c>
      <c r="G24" s="10" t="s">
        <v>9</v>
      </c>
      <c r="H24" s="10" t="s">
        <v>99</v>
      </c>
      <c r="I24" s="15" t="n">
        <v>77</v>
      </c>
      <c r="J24" s="15" t="n">
        <v>48.9178660267546</v>
      </c>
      <c r="K24" s="10" t="n">
        <v>80</v>
      </c>
      <c r="L24" s="10" t="n">
        <v>100</v>
      </c>
      <c r="M24" s="10" t="s">
        <v>367</v>
      </c>
      <c r="N24" s="10" t="s">
        <v>101</v>
      </c>
      <c r="O24" s="10" t="s">
        <v>368</v>
      </c>
      <c r="P24" s="10" t="n">
        <v>17.6</v>
      </c>
      <c r="Q24" s="10" t="n">
        <v>3.52</v>
      </c>
      <c r="R24" s="10" t="n">
        <v>2.71</v>
      </c>
      <c r="S24" s="10" t="n">
        <v>13.9288966962213</v>
      </c>
      <c r="T24" s="10" t="n">
        <v>28.3911247262704</v>
      </c>
      <c r="U24" s="10" t="n">
        <v>33.1956468254828</v>
      </c>
      <c r="V24" s="10" t="n">
        <v>0.03</v>
      </c>
      <c r="W24" s="10" t="n">
        <v>4.56679235857728</v>
      </c>
      <c r="X24" s="10" t="n">
        <v>9.87</v>
      </c>
      <c r="Y24" s="10" t="n">
        <v>5</v>
      </c>
      <c r="Z24" s="10" t="s">
        <v>176</v>
      </c>
      <c r="AA24" s="10" t="s">
        <v>104</v>
      </c>
      <c r="AB24" s="10" t="s">
        <v>105</v>
      </c>
      <c r="AC24" s="11" t="n">
        <v>166.669952187612</v>
      </c>
      <c r="AD24" s="12" t="n">
        <v>289</v>
      </c>
      <c r="AE24" s="11" t="n">
        <v>208.337440234515</v>
      </c>
      <c r="AF24" s="13" t="n">
        <v>-35.7653236411131</v>
      </c>
      <c r="AG24" s="15" t="n">
        <v>5.96509215784039</v>
      </c>
      <c r="AH24" s="14" t="n">
        <v>59650.9215784039</v>
      </c>
      <c r="AI24" s="10" t="s">
        <v>9</v>
      </c>
      <c r="AJ24" s="10" t="s">
        <v>177</v>
      </c>
      <c r="AK24" s="10" t="s">
        <v>369</v>
      </c>
      <c r="AL24" s="10" t="s">
        <v>108</v>
      </c>
      <c r="AM24" s="10" t="s">
        <v>370</v>
      </c>
      <c r="AN24" s="10" t="s">
        <v>371</v>
      </c>
      <c r="AO24" s="10" t="s">
        <v>372</v>
      </c>
      <c r="AP24" s="10" t="s">
        <v>373</v>
      </c>
      <c r="AQ24" s="10" t="s">
        <v>194</v>
      </c>
      <c r="AR24" s="13" t="n">
        <v>16.5799995087842</v>
      </c>
      <c r="AS24" s="13" t="n">
        <v>5</v>
      </c>
      <c r="AT24" s="10" t="n">
        <v>12.5655874689092</v>
      </c>
      <c r="AU24" s="10" t="n">
        <v>5.7</v>
      </c>
      <c r="AV24" s="10" t="n">
        <v>-0.081</v>
      </c>
      <c r="AW24" s="10" t="n">
        <v>17.059711</v>
      </c>
      <c r="AX24" s="10" t="n">
        <v>4.887764</v>
      </c>
      <c r="AY24" s="10" t="n">
        <v>100</v>
      </c>
      <c r="AZ24" s="10" t="n">
        <v>1.09750723473059</v>
      </c>
      <c r="BA24" s="10" t="n">
        <v>100</v>
      </c>
      <c r="BB24" s="10"/>
      <c r="BC24" s="10" t="s">
        <v>114</v>
      </c>
      <c r="BD24" s="10" t="s">
        <v>115</v>
      </c>
      <c r="BE24" s="10"/>
      <c r="BF24" s="10"/>
      <c r="BG24" s="10" t="s">
        <v>337</v>
      </c>
      <c r="BH24" s="10" t="s">
        <v>117</v>
      </c>
      <c r="BJ24" s="5" t="s">
        <v>143</v>
      </c>
      <c r="BK24" s="5" t="s">
        <v>374</v>
      </c>
      <c r="BQ24" s="5" t="n">
        <v>1.09750723473059</v>
      </c>
      <c r="BT24" s="5" t="n">
        <v>1.09750723473059</v>
      </c>
    </row>
    <row r="25" customFormat="false" ht="15" hidden="true" customHeight="true" outlineLevel="0" collapsed="false">
      <c r="A25" s="10" t="n">
        <v>24</v>
      </c>
      <c r="B25" s="10" t="s">
        <v>375</v>
      </c>
      <c r="C25" s="10" t="s">
        <v>376</v>
      </c>
      <c r="D25" s="10" t="s">
        <v>252</v>
      </c>
      <c r="E25" s="10" t="s">
        <v>329</v>
      </c>
      <c r="F25" s="10" t="n">
        <v>2022909542400</v>
      </c>
      <c r="G25" s="10" t="s">
        <v>9</v>
      </c>
      <c r="H25" s="10" t="s">
        <v>99</v>
      </c>
      <c r="I25" s="15" t="n">
        <v>72</v>
      </c>
      <c r="J25" s="15" t="n">
        <v>35.7542883209861</v>
      </c>
      <c r="K25" s="10" t="n">
        <v>80</v>
      </c>
      <c r="L25" s="10" t="n">
        <v>100</v>
      </c>
      <c r="M25" s="10" t="s">
        <v>377</v>
      </c>
      <c r="N25" s="10" t="s">
        <v>101</v>
      </c>
      <c r="O25" s="10" t="s">
        <v>378</v>
      </c>
      <c r="P25" s="10" t="n">
        <v>38</v>
      </c>
      <c r="Q25" s="10" t="n">
        <v>2.11</v>
      </c>
      <c r="R25" s="10" t="n">
        <v>1.95</v>
      </c>
      <c r="S25" s="10" t="n">
        <v>40.9672203045685</v>
      </c>
      <c r="T25" s="10" t="n">
        <v>21.9728965763153</v>
      </c>
      <c r="U25" s="10" t="n">
        <v>18.2195155562466</v>
      </c>
      <c r="V25" s="10" t="n">
        <v>0.05</v>
      </c>
      <c r="W25" s="10" t="n">
        <v>1.74239487461802</v>
      </c>
      <c r="X25" s="10" t="n">
        <v>15.6</v>
      </c>
      <c r="Y25" s="10" t="n">
        <v>18</v>
      </c>
      <c r="Z25" s="10" t="s">
        <v>176</v>
      </c>
      <c r="AA25" s="10" t="s">
        <v>104</v>
      </c>
      <c r="AB25" s="10" t="s">
        <v>105</v>
      </c>
      <c r="AC25" s="11" t="n">
        <v>3045.88603035015</v>
      </c>
      <c r="AD25" s="12" t="n">
        <v>7454</v>
      </c>
      <c r="AE25" s="11" t="n">
        <v>3807.35753793769</v>
      </c>
      <c r="AF25" s="13" t="n">
        <v>-93.5594418587703</v>
      </c>
      <c r="AG25" s="15" t="n">
        <v>4.35991269030482</v>
      </c>
      <c r="AH25" s="14" t="n">
        <v>43599.1269030482</v>
      </c>
      <c r="AI25" s="10" t="s">
        <v>9</v>
      </c>
      <c r="AJ25" s="10" t="s">
        <v>177</v>
      </c>
      <c r="AK25" s="10" t="s">
        <v>178</v>
      </c>
      <c r="AL25" s="10" t="s">
        <v>108</v>
      </c>
      <c r="AM25" s="10" t="s">
        <v>379</v>
      </c>
      <c r="AN25" s="10" t="s">
        <v>380</v>
      </c>
      <c r="AO25" s="10" t="s">
        <v>381</v>
      </c>
      <c r="AP25" s="10" t="s">
        <v>382</v>
      </c>
      <c r="AQ25" s="10" t="s">
        <v>383</v>
      </c>
      <c r="AR25" s="13" t="n">
        <v>201.039984655544</v>
      </c>
      <c r="AS25" s="13" t="n">
        <v>15.4840062</v>
      </c>
      <c r="AT25" s="10" t="n">
        <v>18.9383084855635</v>
      </c>
      <c r="AU25" s="10" t="n">
        <v>1.11</v>
      </c>
      <c r="AV25" s="10" t="n">
        <v>0.275</v>
      </c>
      <c r="AW25" s="10" t="n">
        <v>36.656887</v>
      </c>
      <c r="AX25" s="10" t="n">
        <v>8.053834</v>
      </c>
      <c r="AY25" s="10" t="n">
        <v>100</v>
      </c>
      <c r="AZ25" s="10" t="n">
        <v>0.682532441705196</v>
      </c>
      <c r="BA25" s="10" t="n">
        <v>100</v>
      </c>
      <c r="BB25" s="10"/>
      <c r="BC25" s="10" t="s">
        <v>114</v>
      </c>
      <c r="BD25" s="10" t="s">
        <v>384</v>
      </c>
      <c r="BE25" s="10"/>
      <c r="BF25" s="10"/>
      <c r="BG25" s="10" t="s">
        <v>116</v>
      </c>
      <c r="BH25" s="10" t="s">
        <v>117</v>
      </c>
      <c r="BJ25" s="5" t="s">
        <v>114</v>
      </c>
      <c r="BK25" s="5" t="s">
        <v>385</v>
      </c>
      <c r="BQ25" s="5" t="n">
        <v>0.682532441705196</v>
      </c>
      <c r="BT25" s="5" t="n">
        <v>0.682532441705196</v>
      </c>
    </row>
    <row r="26" customFormat="false" ht="15" hidden="true" customHeight="true" outlineLevel="0" collapsed="false">
      <c r="A26" s="10" t="n">
        <v>25</v>
      </c>
      <c r="B26" s="10" t="s">
        <v>386</v>
      </c>
      <c r="C26" s="10" t="s">
        <v>387</v>
      </c>
      <c r="D26" s="10" t="s">
        <v>238</v>
      </c>
      <c r="E26" s="10" t="s">
        <v>351</v>
      </c>
      <c r="F26" s="10" t="n">
        <v>248079564800</v>
      </c>
      <c r="G26" s="10" t="s">
        <v>9</v>
      </c>
      <c r="H26" s="10" t="s">
        <v>143</v>
      </c>
      <c r="I26" s="15" t="n">
        <v>35</v>
      </c>
      <c r="J26" s="15" t="n">
        <v>10.5</v>
      </c>
      <c r="K26" s="10" t="n">
        <v>55</v>
      </c>
      <c r="L26" s="10" t="n">
        <v>100</v>
      </c>
      <c r="M26" s="10" t="s">
        <v>388</v>
      </c>
      <c r="N26" s="10" t="s">
        <v>101</v>
      </c>
      <c r="O26" s="10" t="s">
        <v>389</v>
      </c>
      <c r="P26" s="10" t="n">
        <v>41.9</v>
      </c>
      <c r="Q26" s="10" t="n">
        <v>0.07</v>
      </c>
      <c r="R26" s="10" t="n">
        <v>0.07</v>
      </c>
      <c r="S26" s="10"/>
      <c r="T26" s="10" t="n">
        <v>9.91603175109184</v>
      </c>
      <c r="U26" s="10" t="n">
        <v>14.8115365111698</v>
      </c>
      <c r="V26" s="10" t="n">
        <v>2.96</v>
      </c>
      <c r="W26" s="10"/>
      <c r="X26" s="10" t="n">
        <v>14</v>
      </c>
      <c r="Y26" s="10" t="n">
        <v>619</v>
      </c>
      <c r="Z26" s="10" t="s">
        <v>176</v>
      </c>
      <c r="AA26" s="10" t="s">
        <v>104</v>
      </c>
      <c r="AB26" s="10" t="s">
        <v>212</v>
      </c>
      <c r="AC26" s="11" t="n">
        <v>584.175384241113</v>
      </c>
      <c r="AD26" s="12" t="n">
        <v>1460</v>
      </c>
      <c r="AE26" s="11" t="n">
        <v>730.219230301391</v>
      </c>
      <c r="AF26" s="13" t="n">
        <v>-112.073297406976</v>
      </c>
      <c r="AG26" s="15" t="str">
        <f aca="false">IF(H26="Fail","Not Eligible (Failed Gate)",IF(J26="","Pending Score",IF(J26&gt;=90,"10%",IF(J26&gt;=80,"7.5%",IF(J26&gt;=70,"5%","Watchlist only")))))</f>
        <v>Watchlist only</v>
      </c>
      <c r="AH26" s="14" t="str">
        <f aca="false">IFERROR(ROUND(VALUE(SUBSTITUTE(AG26,"%",""))/100*Dashboard!$B$11,0),"")</f>
        <v/>
      </c>
      <c r="AI26" s="10" t="s">
        <v>390</v>
      </c>
      <c r="AJ26" s="10" t="s">
        <v>177</v>
      </c>
      <c r="AK26" s="10" t="s">
        <v>178</v>
      </c>
      <c r="AL26" s="10" t="s">
        <v>108</v>
      </c>
      <c r="AM26" s="10" t="s">
        <v>391</v>
      </c>
      <c r="AN26" s="10" t="s">
        <v>392</v>
      </c>
      <c r="AO26" s="10" t="s">
        <v>393</v>
      </c>
      <c r="AP26" s="10" t="s">
        <v>394</v>
      </c>
      <c r="AQ26" s="10" t="s">
        <v>395</v>
      </c>
      <c r="AR26" s="13" t="n">
        <v>48.4100006320872</v>
      </c>
      <c r="AS26" s="13" t="n">
        <v>10.5100006</v>
      </c>
      <c r="AT26" s="10" t="n">
        <v>15.0840576389463</v>
      </c>
      <c r="AU26" s="10"/>
      <c r="AV26" s="10" t="n">
        <v>0.184</v>
      </c>
      <c r="AW26" s="10" t="n">
        <v>31.989258</v>
      </c>
      <c r="AX26" s="10" t="n">
        <v>3.1633716</v>
      </c>
      <c r="AY26" s="10" t="n">
        <v>25</v>
      </c>
      <c r="AZ26" s="10" t="n">
        <v>40</v>
      </c>
      <c r="BA26" s="10" t="n">
        <v>25</v>
      </c>
      <c r="BB26" s="10"/>
      <c r="BC26" s="10" t="s">
        <v>114</v>
      </c>
      <c r="BD26" s="10" t="s">
        <v>157</v>
      </c>
      <c r="BE26" s="10"/>
      <c r="BF26" s="10"/>
      <c r="BG26" s="10" t="s">
        <v>116</v>
      </c>
      <c r="BH26" s="10" t="s">
        <v>117</v>
      </c>
      <c r="BJ26" s="5" t="s">
        <v>114</v>
      </c>
      <c r="BK26" s="5" t="s">
        <v>396</v>
      </c>
      <c r="BQ26" s="5" t="n">
        <v>40</v>
      </c>
      <c r="BT26" s="5" t="n">
        <v>40</v>
      </c>
    </row>
    <row r="27" customFormat="false" ht="15" hidden="true" customHeight="true" outlineLevel="0" collapsed="false">
      <c r="A27" s="10" t="n">
        <v>26</v>
      </c>
      <c r="B27" s="10" t="s">
        <v>397</v>
      </c>
      <c r="C27" s="10" t="s">
        <v>398</v>
      </c>
      <c r="D27" s="10" t="s">
        <v>238</v>
      </c>
      <c r="E27" s="10" t="s">
        <v>239</v>
      </c>
      <c r="F27" s="10" t="n">
        <v>1197219774464</v>
      </c>
      <c r="G27" s="10" t="s">
        <v>9</v>
      </c>
      <c r="H27" s="10" t="s">
        <v>198</v>
      </c>
      <c r="I27" s="10" t="n">
        <v>16.6666666666667</v>
      </c>
      <c r="J27" s="10" t="n">
        <v>0</v>
      </c>
      <c r="K27" s="10" t="n">
        <v>70</v>
      </c>
      <c r="L27" s="10" t="n">
        <v>60</v>
      </c>
      <c r="M27" s="10" t="s">
        <v>399</v>
      </c>
      <c r="N27" s="10" t="s">
        <v>101</v>
      </c>
      <c r="O27" s="10" t="s">
        <v>400</v>
      </c>
      <c r="P27" s="10" t="n">
        <v>7.3</v>
      </c>
      <c r="Q27" s="10" t="n">
        <v>0.74</v>
      </c>
      <c r="R27" s="10" t="n">
        <v>0.65</v>
      </c>
      <c r="S27" s="10"/>
      <c r="T27" s="10" t="n">
        <v>12.2079359890616</v>
      </c>
      <c r="U27" s="10" t="n">
        <v>15.27</v>
      </c>
      <c r="V27" s="10" t="n">
        <v>0.66</v>
      </c>
      <c r="W27" s="10" t="n">
        <v>56.4193966992758</v>
      </c>
      <c r="X27" s="10" t="n">
        <v>9.8</v>
      </c>
      <c r="Y27" s="10" t="n">
        <v>-46</v>
      </c>
      <c r="Z27" s="10" t="s">
        <v>176</v>
      </c>
      <c r="AA27" s="10" t="s">
        <v>104</v>
      </c>
      <c r="AB27" s="10" t="s">
        <v>105</v>
      </c>
      <c r="AC27" s="11" t="n">
        <v>378.940700529408</v>
      </c>
      <c r="AD27" s="12" t="n">
        <v>106</v>
      </c>
      <c r="AE27" s="11" t="n">
        <v>473.67587566176</v>
      </c>
      <c r="AF27" s="13" t="n">
        <v>78.0081685911349</v>
      </c>
      <c r="AG27" s="15" t="n">
        <v>0.565553626035105</v>
      </c>
      <c r="AH27" s="14" t="n">
        <v>5655.53626035105</v>
      </c>
      <c r="AI27" s="10" t="s">
        <v>9</v>
      </c>
      <c r="AJ27" s="10" t="s">
        <v>177</v>
      </c>
      <c r="AK27" s="10" t="s">
        <v>178</v>
      </c>
      <c r="AL27" s="10" t="s">
        <v>108</v>
      </c>
      <c r="AM27" s="10" t="s">
        <v>401</v>
      </c>
      <c r="AN27" s="10" t="s">
        <v>402</v>
      </c>
      <c r="AO27" s="10" t="s">
        <v>403</v>
      </c>
      <c r="AP27" s="10" t="s">
        <v>404</v>
      </c>
      <c r="AQ27" s="10" t="s">
        <v>405</v>
      </c>
      <c r="AR27" s="13" t="n">
        <v>16</v>
      </c>
      <c r="AS27" s="13" t="n">
        <v>10.6308197597</v>
      </c>
      <c r="AT27" s="10" t="n">
        <v>29.60474222886</v>
      </c>
      <c r="AU27" s="10" t="n">
        <v>2.97</v>
      </c>
      <c r="AV27" s="10" t="n">
        <v>0.527</v>
      </c>
      <c r="AW27" s="10" t="n">
        <v>6.510625</v>
      </c>
      <c r="AX27" s="10" t="n">
        <v>0.7982926</v>
      </c>
      <c r="AY27" s="10" t="n">
        <v>60</v>
      </c>
      <c r="AZ27" s="10" t="n">
        <v>40</v>
      </c>
      <c r="BA27" s="10" t="n">
        <v>100</v>
      </c>
      <c r="BB27" s="10"/>
      <c r="BC27" s="10" t="s">
        <v>247</v>
      </c>
      <c r="BD27" s="10" t="s">
        <v>157</v>
      </c>
      <c r="BE27" s="10"/>
      <c r="BF27" s="10"/>
      <c r="BG27" s="10" t="s">
        <v>129</v>
      </c>
      <c r="BH27" s="10" t="s">
        <v>406</v>
      </c>
      <c r="BJ27" s="5" t="s">
        <v>143</v>
      </c>
      <c r="BK27" s="5" t="s">
        <v>407</v>
      </c>
      <c r="BQ27" s="5" t="n">
        <v>40</v>
      </c>
      <c r="BT27" s="5" t="n">
        <v>40</v>
      </c>
    </row>
    <row r="28" customFormat="false" ht="15" hidden="true" customHeight="true" outlineLevel="0" collapsed="false">
      <c r="A28" s="10" t="n">
        <v>27</v>
      </c>
      <c r="B28" s="10" t="s">
        <v>408</v>
      </c>
      <c r="C28" s="10" t="s">
        <v>409</v>
      </c>
      <c r="D28" s="10" t="s">
        <v>96</v>
      </c>
      <c r="E28" s="10" t="s">
        <v>97</v>
      </c>
      <c r="F28" s="10" t="n">
        <v>668463136768</v>
      </c>
      <c r="G28" s="10" t="s">
        <v>10</v>
      </c>
      <c r="H28" s="10" t="s">
        <v>143</v>
      </c>
      <c r="I28" s="15" t="n">
        <v>79</v>
      </c>
      <c r="J28" s="15" t="n">
        <v>38.5101130095242</v>
      </c>
      <c r="K28" s="10" t="n">
        <v>93</v>
      </c>
      <c r="L28" s="10" t="n">
        <v>100</v>
      </c>
      <c r="M28" s="10" t="s">
        <v>410</v>
      </c>
      <c r="N28" s="10" t="s">
        <v>411</v>
      </c>
      <c r="O28" s="10" t="s">
        <v>412</v>
      </c>
      <c r="P28" s="10" t="n">
        <v>37</v>
      </c>
      <c r="Q28" s="10" t="n">
        <v>0.4</v>
      </c>
      <c r="R28" s="10" t="n">
        <v>0.4</v>
      </c>
      <c r="S28" s="10" t="n">
        <v>28.1765758836118</v>
      </c>
      <c r="T28" s="10" t="n">
        <v>16.0702848996963</v>
      </c>
      <c r="U28" s="10" t="n">
        <v>21.0890117731003</v>
      </c>
      <c r="V28" s="10" t="n">
        <v>0.7</v>
      </c>
      <c r="W28" s="10" t="n">
        <v>1.57481937246633</v>
      </c>
      <c r="X28" s="10" t="n">
        <v>35.9</v>
      </c>
      <c r="Y28" s="10" t="n">
        <v>91.6</v>
      </c>
      <c r="Z28" s="10" t="s">
        <v>176</v>
      </c>
      <c r="AA28" s="10" t="s">
        <v>104</v>
      </c>
      <c r="AB28" s="10" t="s">
        <v>105</v>
      </c>
      <c r="AC28" s="11" t="n">
        <v>575.628188151074</v>
      </c>
      <c r="AD28" s="12" t="n">
        <v>1464</v>
      </c>
      <c r="AE28" s="11" t="n">
        <v>719.535235188843</v>
      </c>
      <c r="AF28" s="13" t="n">
        <v>-109.85768676133</v>
      </c>
      <c r="AG28" s="15" t="n">
        <v>2.71436355448913</v>
      </c>
      <c r="AH28" s="14" t="n">
        <v>27143.6355448913</v>
      </c>
      <c r="AI28" s="10" t="s">
        <v>10</v>
      </c>
      <c r="AJ28" s="10" t="s">
        <v>177</v>
      </c>
      <c r="AK28" s="10" t="s">
        <v>178</v>
      </c>
      <c r="AL28" s="10" t="s">
        <v>108</v>
      </c>
      <c r="AM28" s="10" t="s">
        <v>413</v>
      </c>
      <c r="AN28" s="10" t="s">
        <v>414</v>
      </c>
      <c r="AO28" s="10" t="s">
        <v>415</v>
      </c>
      <c r="AP28" s="10" t="s">
        <v>416</v>
      </c>
      <c r="AQ28" s="10" t="s">
        <v>417</v>
      </c>
      <c r="AR28" s="13" t="n">
        <v>44.5000016650663</v>
      </c>
      <c r="AS28" s="13" t="n">
        <v>11.89214301142</v>
      </c>
      <c r="AT28" s="10" t="n">
        <v>16.1693311278392</v>
      </c>
      <c r="AU28" s="10" t="n">
        <v>1.11</v>
      </c>
      <c r="AV28" s="10" t="n">
        <v>0.23</v>
      </c>
      <c r="AW28" s="10" t="n">
        <v>33.932583</v>
      </c>
      <c r="AX28" s="10" t="n">
        <v>5.317594</v>
      </c>
      <c r="AY28" s="10" t="n">
        <v>100</v>
      </c>
      <c r="AZ28" s="10" t="n">
        <v>2.50604301386278</v>
      </c>
      <c r="BA28" s="10" t="n">
        <v>100</v>
      </c>
      <c r="BB28" s="10"/>
      <c r="BC28" s="10" t="s">
        <v>114</v>
      </c>
      <c r="BD28" s="10" t="s">
        <v>115</v>
      </c>
      <c r="BE28" s="10"/>
      <c r="BF28" s="10"/>
      <c r="BG28" s="10" t="s">
        <v>116</v>
      </c>
      <c r="BH28" s="10" t="s">
        <v>117</v>
      </c>
      <c r="BQ28" s="5" t="n">
        <v>2.50604301386278</v>
      </c>
      <c r="BT28" s="5" t="n">
        <v>2.50604301386278</v>
      </c>
    </row>
    <row r="29" customFormat="false" ht="15" hidden="true" customHeight="true" outlineLevel="0" collapsed="false">
      <c r="A29" s="10" t="n">
        <v>28</v>
      </c>
      <c r="B29" s="10" t="s">
        <v>418</v>
      </c>
      <c r="C29" s="10" t="s">
        <v>419</v>
      </c>
      <c r="D29" s="10" t="s">
        <v>96</v>
      </c>
      <c r="E29" s="10" t="s">
        <v>420</v>
      </c>
      <c r="F29" s="10" t="n">
        <v>494169686016</v>
      </c>
      <c r="G29" s="10" t="s">
        <v>10</v>
      </c>
      <c r="H29" s="10" t="s">
        <v>143</v>
      </c>
      <c r="I29" s="15" t="n">
        <v>72.5</v>
      </c>
      <c r="J29" s="15" t="n">
        <v>25.8576782530098</v>
      </c>
      <c r="K29" s="10" t="n">
        <v>80</v>
      </c>
      <c r="L29" s="10" t="n">
        <v>100</v>
      </c>
      <c r="M29" s="10" t="s">
        <v>421</v>
      </c>
      <c r="N29" s="10" t="s">
        <v>101</v>
      </c>
      <c r="O29" s="10" t="s">
        <v>422</v>
      </c>
      <c r="P29" s="10" t="n">
        <v>30.8</v>
      </c>
      <c r="Q29" s="10" t="n">
        <v>0.51</v>
      </c>
      <c r="R29" s="10" t="n">
        <v>0.5</v>
      </c>
      <c r="S29" s="10" t="n">
        <v>26.8402377275578</v>
      </c>
      <c r="T29" s="10" t="n">
        <v>35.0264780545114</v>
      </c>
      <c r="U29" s="10" t="n">
        <v>25.1812485600527</v>
      </c>
      <c r="V29" s="10" t="n">
        <v>0.86</v>
      </c>
      <c r="W29" s="10" t="n">
        <v>-3.36174605582188</v>
      </c>
      <c r="X29" s="10" t="n">
        <v>44</v>
      </c>
      <c r="Y29" s="10" t="n">
        <v>60</v>
      </c>
      <c r="Z29" s="10" t="s">
        <v>176</v>
      </c>
      <c r="AA29" s="10" t="s">
        <v>104</v>
      </c>
      <c r="AB29" s="10" t="s">
        <v>105</v>
      </c>
      <c r="AC29" s="11" t="n">
        <v>125.45200917991</v>
      </c>
      <c r="AD29" s="12" t="n">
        <v>1065</v>
      </c>
      <c r="AE29" s="11" t="n">
        <v>156.815011474887</v>
      </c>
      <c r="AF29" s="13" t="n">
        <v>-598.274986368481</v>
      </c>
      <c r="AG29" s="15" t="n">
        <v>0.676806111126165</v>
      </c>
      <c r="AH29" s="14" t="n">
        <v>6768.06111126165</v>
      </c>
      <c r="AI29" s="10" t="s">
        <v>423</v>
      </c>
      <c r="AJ29" s="10" t="s">
        <v>177</v>
      </c>
      <c r="AK29" s="10" t="s">
        <v>178</v>
      </c>
      <c r="AL29" s="10" t="s">
        <v>108</v>
      </c>
      <c r="AM29" s="10" t="s">
        <v>424</v>
      </c>
      <c r="AN29" s="10" t="s">
        <v>425</v>
      </c>
      <c r="AO29" s="10" t="s">
        <v>426</v>
      </c>
      <c r="AP29" s="10" t="s">
        <v>427</v>
      </c>
      <c r="AQ29" s="10" t="s">
        <v>428</v>
      </c>
      <c r="AR29" s="13" t="n">
        <v>35.0699985962392</v>
      </c>
      <c r="AS29" s="13" t="n">
        <v>25</v>
      </c>
      <c r="AT29" s="10" t="n">
        <v>4.47148592742763</v>
      </c>
      <c r="AU29" s="10" t="n">
        <v>0.14</v>
      </c>
      <c r="AV29" s="10"/>
      <c r="AW29" s="10" t="n">
        <v>31.223269</v>
      </c>
      <c r="AX29" s="10" t="n">
        <v>11.451939</v>
      </c>
      <c r="AY29" s="10" t="n">
        <v>50</v>
      </c>
      <c r="AZ29" s="10" t="n">
        <v>28.6684737848004</v>
      </c>
      <c r="BA29" s="10" t="n">
        <v>50</v>
      </c>
      <c r="BB29" s="10"/>
      <c r="BC29" s="10" t="s">
        <v>114</v>
      </c>
      <c r="BD29" s="10" t="s">
        <v>157</v>
      </c>
      <c r="BE29" s="10"/>
      <c r="BF29" s="10"/>
      <c r="BG29" s="10" t="s">
        <v>184</v>
      </c>
      <c r="BH29" s="10" t="s">
        <v>117</v>
      </c>
      <c r="BQ29" s="5" t="n">
        <v>28.6684737848004</v>
      </c>
      <c r="BT29" s="5" t="n">
        <v>28.6684737848004</v>
      </c>
    </row>
    <row r="30" customFormat="false" ht="15" hidden="true" customHeight="true" outlineLevel="0" collapsed="false">
      <c r="A30" s="10" t="n">
        <v>29</v>
      </c>
      <c r="B30" s="10" t="s">
        <v>429</v>
      </c>
      <c r="C30" s="10" t="s">
        <v>430</v>
      </c>
      <c r="D30" s="10" t="s">
        <v>238</v>
      </c>
      <c r="E30" s="10" t="s">
        <v>431</v>
      </c>
      <c r="F30" s="10" t="n">
        <v>358072942592</v>
      </c>
      <c r="G30" s="10" t="s">
        <v>10</v>
      </c>
      <c r="H30" s="10" t="s">
        <v>99</v>
      </c>
      <c r="I30" s="15" t="n">
        <v>56.6666666666667</v>
      </c>
      <c r="J30" s="15" t="n">
        <v>40.9781896948561</v>
      </c>
      <c r="K30" s="10" t="n">
        <v>92</v>
      </c>
      <c r="L30" s="10" t="n">
        <v>60</v>
      </c>
      <c r="M30" s="10" t="s">
        <v>432</v>
      </c>
      <c r="N30" s="10" t="s">
        <v>101</v>
      </c>
      <c r="O30" s="10" t="s">
        <v>433</v>
      </c>
      <c r="P30" s="10" t="n">
        <v>45</v>
      </c>
      <c r="Q30" s="10" t="n">
        <v>1.7</v>
      </c>
      <c r="R30" s="10" t="n">
        <v>1.61</v>
      </c>
      <c r="S30" s="10"/>
      <c r="T30" s="10" t="n">
        <v>7.37602665529544</v>
      </c>
      <c r="U30" s="10" t="n">
        <v>11.65</v>
      </c>
      <c r="V30" s="10" t="n">
        <v>0.05</v>
      </c>
      <c r="W30" s="10" t="n">
        <v>5.15399809460805</v>
      </c>
      <c r="X30" s="10" t="n">
        <v>26.4</v>
      </c>
      <c r="Y30" s="10" t="n">
        <v>-30</v>
      </c>
      <c r="Z30" s="10" t="s">
        <v>176</v>
      </c>
      <c r="AA30" s="10" t="s">
        <v>104</v>
      </c>
      <c r="AB30" s="10" t="s">
        <v>212</v>
      </c>
      <c r="AC30" s="11" t="n">
        <v>612.562956111384</v>
      </c>
      <c r="AD30" s="12" t="n">
        <v>587</v>
      </c>
      <c r="AE30" s="11" t="n">
        <v>765.703695139231</v>
      </c>
      <c r="AF30" s="13" t="n">
        <v>20.5240873378122</v>
      </c>
      <c r="AG30" s="15" t="n">
        <v>2.99815218256976</v>
      </c>
      <c r="AH30" s="14" t="n">
        <v>29981.5218256976</v>
      </c>
      <c r="AI30" s="10" t="s">
        <v>434</v>
      </c>
      <c r="AJ30" s="10" t="s">
        <v>177</v>
      </c>
      <c r="AK30" s="10" t="s">
        <v>178</v>
      </c>
      <c r="AL30" s="10" t="s">
        <v>108</v>
      </c>
      <c r="AM30" s="10" t="s">
        <v>435</v>
      </c>
      <c r="AN30" s="10" t="s">
        <v>436</v>
      </c>
      <c r="AO30" s="10" t="s">
        <v>437</v>
      </c>
      <c r="AP30" s="10" t="s">
        <v>438</v>
      </c>
      <c r="AQ30" s="10" t="s">
        <v>439</v>
      </c>
      <c r="AR30" s="13" t="n">
        <v>9.46000038862872</v>
      </c>
      <c r="AS30" s="13" t="n">
        <v>10</v>
      </c>
      <c r="AT30" s="10" t="n">
        <v>80.9411939893478</v>
      </c>
      <c r="AU30" s="10"/>
      <c r="AV30" s="10" t="n">
        <v>0.204</v>
      </c>
      <c r="AW30" s="10" t="n">
        <v>64.32875</v>
      </c>
      <c r="AX30" s="10" t="n">
        <v>4.706569</v>
      </c>
      <c r="AY30" s="10" t="n">
        <v>60</v>
      </c>
      <c r="AZ30" s="10" t="n">
        <v>40</v>
      </c>
      <c r="BA30" s="10" t="n">
        <v>75</v>
      </c>
      <c r="BB30" s="10"/>
      <c r="BC30" s="10" t="s">
        <v>247</v>
      </c>
      <c r="BD30" s="10" t="s">
        <v>384</v>
      </c>
      <c r="BE30" s="10"/>
      <c r="BF30" s="10"/>
      <c r="BG30" s="10" t="s">
        <v>129</v>
      </c>
      <c r="BH30" s="10" t="s">
        <v>117</v>
      </c>
      <c r="BQ30" s="5" t="n">
        <v>40</v>
      </c>
      <c r="BT30" s="5" t="n">
        <v>40</v>
      </c>
    </row>
    <row r="31" customFormat="false" ht="15" hidden="true" customHeight="true" outlineLevel="0" collapsed="false">
      <c r="A31" s="10" t="n">
        <v>30</v>
      </c>
      <c r="B31" s="10" t="s">
        <v>440</v>
      </c>
      <c r="C31" s="10" t="s">
        <v>441</v>
      </c>
      <c r="D31" s="10" t="s">
        <v>96</v>
      </c>
      <c r="E31" s="10" t="s">
        <v>420</v>
      </c>
      <c r="F31" s="10" t="n">
        <v>71626588160</v>
      </c>
      <c r="G31" s="10" t="s">
        <v>10</v>
      </c>
      <c r="H31" s="10" t="s">
        <v>143</v>
      </c>
      <c r="I31" s="15" t="n">
        <v>55</v>
      </c>
      <c r="J31" s="15" t="n">
        <v>40.5510745399222</v>
      </c>
      <c r="K31" s="10" t="n">
        <v>40</v>
      </c>
      <c r="L31" s="10" t="n">
        <v>100</v>
      </c>
      <c r="M31" s="10" t="s">
        <v>442</v>
      </c>
      <c r="N31" s="10" t="s">
        <v>443</v>
      </c>
      <c r="O31" s="10" t="s">
        <v>444</v>
      </c>
      <c r="P31" s="10" t="n">
        <v>16.5</v>
      </c>
      <c r="Q31" s="10" t="n">
        <v>0.07</v>
      </c>
      <c r="R31" s="10" t="n">
        <v>0.07</v>
      </c>
      <c r="S31" s="10" t="n">
        <v>10.2993822186295</v>
      </c>
      <c r="T31" s="10" t="n">
        <v>14.8502727479355</v>
      </c>
      <c r="U31" s="10" t="n">
        <v>20.1179226294038</v>
      </c>
      <c r="V31" s="10" t="n">
        <v>1.81</v>
      </c>
      <c r="W31" s="10" t="n">
        <v>-1.19074626562156</v>
      </c>
      <c r="X31" s="10" t="n">
        <v>28.5</v>
      </c>
      <c r="Y31" s="10" t="n">
        <v>236</v>
      </c>
      <c r="Z31" s="10" t="s">
        <v>176</v>
      </c>
      <c r="AA31" s="10" t="s">
        <v>104</v>
      </c>
      <c r="AB31" s="10" t="s">
        <v>445</v>
      </c>
      <c r="AC31" s="11" t="n">
        <v>130.797773553072</v>
      </c>
      <c r="AD31" s="12" t="n">
        <v>189</v>
      </c>
      <c r="AE31" s="11" t="n">
        <v>163.49721694134</v>
      </c>
      <c r="AF31" s="13" t="n">
        <v>-20.9011405196704</v>
      </c>
      <c r="AG31" s="15" t="n">
        <v>0.681727293742978</v>
      </c>
      <c r="AH31" s="14" t="n">
        <v>6817.27293742978</v>
      </c>
      <c r="AI31" s="10" t="s">
        <v>446</v>
      </c>
      <c r="AJ31" s="10" t="s">
        <v>177</v>
      </c>
      <c r="AK31" s="10" t="s">
        <v>178</v>
      </c>
      <c r="AL31" s="10" t="s">
        <v>108</v>
      </c>
      <c r="AM31" s="10" t="s">
        <v>447</v>
      </c>
      <c r="AN31" s="10" t="s">
        <v>448</v>
      </c>
      <c r="AO31" s="10" t="s">
        <v>449</v>
      </c>
      <c r="AP31" s="10" t="s">
        <v>450</v>
      </c>
      <c r="AQ31" s="10" t="s">
        <v>451</v>
      </c>
      <c r="AR31" s="13" t="n">
        <v>13.5899992875405</v>
      </c>
      <c r="AS31" s="13" t="n">
        <v>21.336001</v>
      </c>
      <c r="AT31" s="10" t="n">
        <v>12.0307002900177</v>
      </c>
      <c r="AU31" s="10"/>
      <c r="AV31" s="10"/>
      <c r="AW31" s="10" t="n">
        <v>14.545254</v>
      </c>
      <c r="AX31" s="10" t="n">
        <v>2.2591374</v>
      </c>
      <c r="AY31" s="10" t="n">
        <v>25</v>
      </c>
      <c r="AZ31" s="10" t="n">
        <v>6.78850880958995</v>
      </c>
      <c r="BA31" s="10" t="n">
        <v>25</v>
      </c>
      <c r="BB31" s="10"/>
      <c r="BC31" s="10" t="s">
        <v>114</v>
      </c>
      <c r="BD31" s="10" t="s">
        <v>384</v>
      </c>
      <c r="BE31" s="10"/>
      <c r="BF31" s="10"/>
      <c r="BG31" s="10" t="s">
        <v>337</v>
      </c>
      <c r="BH31" s="10" t="s">
        <v>117</v>
      </c>
      <c r="BQ31" s="5" t="n">
        <v>6.78850880958995</v>
      </c>
      <c r="BT31" s="5" t="n">
        <v>6.78850880958995</v>
      </c>
    </row>
    <row r="32" customFormat="false" ht="15" hidden="true" customHeight="true" outlineLevel="0" collapsed="false">
      <c r="A32" s="10" t="n">
        <v>31</v>
      </c>
      <c r="B32" s="10" t="s">
        <v>452</v>
      </c>
      <c r="C32" s="10" t="s">
        <v>453</v>
      </c>
      <c r="D32" s="10" t="s">
        <v>454</v>
      </c>
      <c r="E32" s="10" t="s">
        <v>455</v>
      </c>
      <c r="F32" s="10" t="n">
        <v>100881326080</v>
      </c>
      <c r="G32" s="10" t="s">
        <v>456</v>
      </c>
      <c r="H32" s="10" t="s">
        <v>198</v>
      </c>
      <c r="I32" s="10" t="n">
        <v>85</v>
      </c>
      <c r="J32" s="10" t="n">
        <v>0</v>
      </c>
      <c r="K32" s="10" t="n">
        <v>70</v>
      </c>
      <c r="L32" s="10" t="n">
        <v>100</v>
      </c>
      <c r="M32" s="10" t="s">
        <v>457</v>
      </c>
      <c r="N32" s="10" t="s">
        <v>101</v>
      </c>
      <c r="O32" s="10" t="s">
        <v>458</v>
      </c>
      <c r="P32" s="10" t="n">
        <v>15.6</v>
      </c>
      <c r="Q32" s="10" t="n">
        <v>0.31</v>
      </c>
      <c r="R32" s="10" t="n">
        <v>0.3</v>
      </c>
      <c r="S32" s="10" t="n">
        <v>11.0790858586568</v>
      </c>
      <c r="T32" s="10" t="n">
        <v>20.0820236161955</v>
      </c>
      <c r="U32" s="10" t="n">
        <v>25.1618290338693</v>
      </c>
      <c r="V32" s="10" t="n">
        <v>0.5</v>
      </c>
      <c r="W32" s="10" t="n">
        <v>8.93805651358148</v>
      </c>
      <c r="X32" s="10" t="n">
        <v>89</v>
      </c>
      <c r="Y32" s="10" t="n">
        <v>50</v>
      </c>
      <c r="Z32" s="10" t="s">
        <v>176</v>
      </c>
      <c r="AA32" s="10" t="s">
        <v>104</v>
      </c>
      <c r="AB32" s="10" t="s">
        <v>105</v>
      </c>
      <c r="AC32" s="11" t="n">
        <v>411.660665515887</v>
      </c>
      <c r="AD32" s="12" t="n">
        <v>220</v>
      </c>
      <c r="AE32" s="11" t="n">
        <v>514.575831894859</v>
      </c>
      <c r="AF32" s="13" t="n">
        <v>59.6696954779634</v>
      </c>
      <c r="AG32" s="15" t="n">
        <v>7.01875492300514</v>
      </c>
      <c r="AH32" s="14" t="n">
        <v>70187.5492300514</v>
      </c>
      <c r="AI32" s="10" t="s">
        <v>456</v>
      </c>
      <c r="AJ32" s="10" t="s">
        <v>177</v>
      </c>
      <c r="AK32" s="10" t="s">
        <v>178</v>
      </c>
      <c r="AL32" s="10" t="s">
        <v>108</v>
      </c>
      <c r="AM32" s="10" t="s">
        <v>459</v>
      </c>
      <c r="AN32" s="10" t="s">
        <v>460</v>
      </c>
      <c r="AO32" s="10" t="s">
        <v>461</v>
      </c>
      <c r="AP32" s="10" t="s">
        <v>462</v>
      </c>
      <c r="AQ32" s="10" t="s">
        <v>463</v>
      </c>
      <c r="AR32" s="13" t="n">
        <v>13.5099999257871</v>
      </c>
      <c r="AS32" s="13" t="n">
        <v>21.6306065692</v>
      </c>
      <c r="AT32" s="10" t="n">
        <v>38.0885145740088</v>
      </c>
      <c r="AU32" s="10" t="n">
        <v>0.21</v>
      </c>
      <c r="AV32" s="10" t="n">
        <v>0.767</v>
      </c>
      <c r="AW32" s="10" t="n">
        <v>15.361214</v>
      </c>
      <c r="AX32" s="10" t="n">
        <v>3.1007948</v>
      </c>
      <c r="AY32" s="10" t="n">
        <v>100</v>
      </c>
      <c r="AZ32" s="10" t="n">
        <v>10.1878102263448</v>
      </c>
      <c r="BA32" s="10" t="n">
        <v>100</v>
      </c>
      <c r="BB32" s="10"/>
      <c r="BC32" s="10" t="s">
        <v>114</v>
      </c>
      <c r="BD32" s="10" t="s">
        <v>157</v>
      </c>
      <c r="BE32" s="10"/>
      <c r="BF32" s="10"/>
      <c r="BG32" s="10" t="s">
        <v>129</v>
      </c>
      <c r="BH32" s="10" t="s">
        <v>117</v>
      </c>
      <c r="BQ32" s="5" t="n">
        <v>10.1878102263448</v>
      </c>
      <c r="BT32" s="5" t="n">
        <v>10.1878102263448</v>
      </c>
    </row>
    <row r="33" customFormat="false" ht="15" hidden="true" customHeight="true" outlineLevel="0" collapsed="false">
      <c r="A33" s="10" t="n">
        <v>32</v>
      </c>
      <c r="B33" s="10" t="s">
        <v>464</v>
      </c>
      <c r="C33" s="10" t="s">
        <v>465</v>
      </c>
      <c r="D33" s="10" t="s">
        <v>454</v>
      </c>
      <c r="E33" s="10" t="s">
        <v>455</v>
      </c>
      <c r="F33" s="10" t="n">
        <v>751172911104</v>
      </c>
      <c r="G33" s="10" t="s">
        <v>456</v>
      </c>
      <c r="H33" s="10" t="s">
        <v>198</v>
      </c>
      <c r="I33" s="10" t="n">
        <v>79.5</v>
      </c>
      <c r="J33" s="10" t="n">
        <v>0</v>
      </c>
      <c r="K33" s="10" t="n">
        <v>75</v>
      </c>
      <c r="L33" s="10" t="n">
        <v>100</v>
      </c>
      <c r="M33" s="10" t="s">
        <v>466</v>
      </c>
      <c r="N33" s="10" t="s">
        <v>101</v>
      </c>
      <c r="O33" s="10" t="s">
        <v>467</v>
      </c>
      <c r="P33" s="10" t="n">
        <v>10.2</v>
      </c>
      <c r="Q33" s="10" t="n">
        <v>0.29</v>
      </c>
      <c r="R33" s="10" t="n">
        <v>0.28</v>
      </c>
      <c r="S33" s="10" t="n">
        <v>9.26752571768216</v>
      </c>
      <c r="T33" s="10" t="n">
        <v>21.8641785753694</v>
      </c>
      <c r="U33" s="10" t="n">
        <v>24.2510446894871</v>
      </c>
      <c r="V33" s="10" t="n">
        <v>0.13</v>
      </c>
      <c r="W33" s="10" t="n">
        <v>2.24289926721494</v>
      </c>
      <c r="X33" s="10" t="n">
        <v>60.7</v>
      </c>
      <c r="Y33" s="10" t="n">
        <v>35</v>
      </c>
      <c r="Z33" s="10" t="s">
        <v>176</v>
      </c>
      <c r="AA33" s="10" t="s">
        <v>104</v>
      </c>
      <c r="AB33" s="10" t="s">
        <v>105</v>
      </c>
      <c r="AC33" s="11" t="n">
        <v>75.7680302585736</v>
      </c>
      <c r="AD33" s="12" t="n">
        <v>88</v>
      </c>
      <c r="AE33" s="11" t="n">
        <v>94.7100378232169</v>
      </c>
      <c r="AF33" s="13" t="n">
        <v>9.78780922938719</v>
      </c>
      <c r="AG33" s="15" t="n">
        <v>5.28624892448139</v>
      </c>
      <c r="AH33" s="14" t="n">
        <v>52862.4892448139</v>
      </c>
      <c r="AI33" s="10" t="s">
        <v>456</v>
      </c>
      <c r="AJ33" s="10" t="s">
        <v>177</v>
      </c>
      <c r="AK33" s="10" t="s">
        <v>178</v>
      </c>
      <c r="AL33" s="10" t="s">
        <v>108</v>
      </c>
      <c r="AM33" s="10" t="s">
        <v>459</v>
      </c>
      <c r="AN33" s="10" t="s">
        <v>468</v>
      </c>
      <c r="AO33" s="10" t="s">
        <v>469</v>
      </c>
      <c r="AP33" s="10" t="s">
        <v>470</v>
      </c>
      <c r="AQ33" s="10" t="s">
        <v>471</v>
      </c>
      <c r="AR33" s="13" t="n">
        <v>8.53999986406367</v>
      </c>
      <c r="AS33" s="13" t="n">
        <v>13.7094084</v>
      </c>
      <c r="AT33" s="10" t="n">
        <v>11.0901683633744</v>
      </c>
      <c r="AU33" s="10" t="n">
        <v>4.18</v>
      </c>
      <c r="AV33" s="10" t="n">
        <v>0.618</v>
      </c>
      <c r="AW33" s="10" t="n">
        <v>10.004684</v>
      </c>
      <c r="AX33" s="10" t="n">
        <v>2.2012677</v>
      </c>
      <c r="AY33" s="10" t="n">
        <v>100</v>
      </c>
      <c r="AZ33" s="10" t="n">
        <v>6.26719200342451</v>
      </c>
      <c r="BA33" s="10" t="n">
        <v>100</v>
      </c>
      <c r="BB33" s="10"/>
      <c r="BC33" s="10" t="s">
        <v>114</v>
      </c>
      <c r="BD33" s="10" t="s">
        <v>157</v>
      </c>
      <c r="BE33" s="10"/>
      <c r="BF33" s="10"/>
      <c r="BG33" s="10" t="s">
        <v>248</v>
      </c>
      <c r="BH33" s="10" t="s">
        <v>117</v>
      </c>
      <c r="BQ33" s="5" t="n">
        <v>6.26719200342451</v>
      </c>
      <c r="BT33" s="5" t="n">
        <v>6.26719200342451</v>
      </c>
    </row>
    <row r="34" customFormat="false" ht="15" hidden="true" customHeight="true" outlineLevel="0" collapsed="false">
      <c r="A34" s="10" t="n">
        <v>33</v>
      </c>
      <c r="B34" s="10" t="s">
        <v>472</v>
      </c>
      <c r="C34" s="10" t="s">
        <v>473</v>
      </c>
      <c r="D34" s="10" t="s">
        <v>454</v>
      </c>
      <c r="E34" s="10" t="s">
        <v>474</v>
      </c>
      <c r="F34" s="10" t="n">
        <v>62048972800</v>
      </c>
      <c r="G34" s="10" t="s">
        <v>456</v>
      </c>
      <c r="H34" s="10" t="s">
        <v>198</v>
      </c>
      <c r="I34" s="10" t="n">
        <v>40</v>
      </c>
      <c r="J34" s="10" t="n">
        <v>0</v>
      </c>
      <c r="K34" s="10" t="n">
        <v>65</v>
      </c>
      <c r="L34" s="10" t="n">
        <v>100</v>
      </c>
      <c r="M34" s="10" t="s">
        <v>475</v>
      </c>
      <c r="N34" s="10" t="s">
        <v>101</v>
      </c>
      <c r="O34" s="10" t="s">
        <v>476</v>
      </c>
      <c r="P34" s="10" t="n">
        <v>15.6</v>
      </c>
      <c r="Q34" s="10" t="n">
        <v>0.39</v>
      </c>
      <c r="R34" s="10" t="n">
        <v>0.38</v>
      </c>
      <c r="S34" s="10" t="n">
        <v>17.3600636755579</v>
      </c>
      <c r="T34" s="10" t="n">
        <v>24.4049537034222</v>
      </c>
      <c r="U34" s="10" t="n">
        <v>15.0990231811175</v>
      </c>
      <c r="V34" s="10" t="n">
        <v>0.69</v>
      </c>
      <c r="W34" s="10" t="n">
        <v>2.50423788225052</v>
      </c>
      <c r="X34" s="10" t="n">
        <v>98</v>
      </c>
      <c r="Y34" s="10" t="n">
        <v>40</v>
      </c>
      <c r="Z34" s="10" t="s">
        <v>176</v>
      </c>
      <c r="AA34" s="10" t="s">
        <v>104</v>
      </c>
      <c r="AB34" s="10" t="s">
        <v>105</v>
      </c>
      <c r="AC34" s="11" t="n">
        <v>463.608973761019</v>
      </c>
      <c r="AD34" s="12" t="n">
        <v>670</v>
      </c>
      <c r="AE34" s="11" t="n">
        <v>579.511217201273</v>
      </c>
      <c r="AF34" s="13" t="n">
        <v>-12.0858372918088</v>
      </c>
      <c r="AG34" s="15" t="n">
        <v>0.390649115071915</v>
      </c>
      <c r="AH34" s="14" t="n">
        <v>3906.49115071915</v>
      </c>
      <c r="AI34" s="10" t="s">
        <v>456</v>
      </c>
      <c r="AJ34" s="10" t="s">
        <v>177</v>
      </c>
      <c r="AK34" s="10" t="s">
        <v>178</v>
      </c>
      <c r="AL34" s="10" t="s">
        <v>108</v>
      </c>
      <c r="AM34" s="10" t="s">
        <v>459</v>
      </c>
      <c r="AN34" s="10" t="s">
        <v>477</v>
      </c>
      <c r="AO34" s="10" t="s">
        <v>461</v>
      </c>
      <c r="AP34" s="10" t="s">
        <v>478</v>
      </c>
      <c r="AQ34" s="10" t="s">
        <v>463</v>
      </c>
      <c r="AR34" s="13" t="n">
        <v>42.0300008340647</v>
      </c>
      <c r="AS34" s="13" t="n">
        <v>25</v>
      </c>
      <c r="AT34" s="10" t="n">
        <v>13.7880375256073</v>
      </c>
      <c r="AU34" s="10" t="n">
        <v>0.16</v>
      </c>
      <c r="AV34" s="10" t="n">
        <v>0.661</v>
      </c>
      <c r="AW34" s="10" t="n">
        <v>15.454437</v>
      </c>
      <c r="AX34" s="10" t="n">
        <v>3.7621703</v>
      </c>
      <c r="AY34" s="10" t="n">
        <v>100</v>
      </c>
      <c r="AZ34" s="10" t="n">
        <v>29.2581401522751</v>
      </c>
      <c r="BA34" s="10" t="n">
        <v>100</v>
      </c>
      <c r="BB34" s="10"/>
      <c r="BC34" s="10" t="s">
        <v>114</v>
      </c>
      <c r="BD34" s="10" t="s">
        <v>157</v>
      </c>
      <c r="BE34" s="10"/>
      <c r="BF34" s="10"/>
      <c r="BG34" s="10" t="s">
        <v>337</v>
      </c>
      <c r="BH34" s="10" t="s">
        <v>117</v>
      </c>
      <c r="BQ34" s="5" t="n">
        <v>29.2581401522751</v>
      </c>
      <c r="BT34" s="5" t="n">
        <v>29.2581401522751</v>
      </c>
    </row>
    <row r="35" customFormat="false" ht="15" hidden="true" customHeight="true" outlineLevel="0" collapsed="false">
      <c r="A35" s="10" t="n">
        <v>34</v>
      </c>
      <c r="B35" s="10" t="s">
        <v>479</v>
      </c>
      <c r="C35" s="10" t="s">
        <v>480</v>
      </c>
      <c r="D35" s="10" t="s">
        <v>147</v>
      </c>
      <c r="E35" s="10" t="s">
        <v>481</v>
      </c>
      <c r="F35" s="10" t="n">
        <v>97757110272</v>
      </c>
      <c r="G35" s="10" t="s">
        <v>456</v>
      </c>
      <c r="H35" s="10" t="s">
        <v>143</v>
      </c>
      <c r="I35" s="15" t="n">
        <v>89.5</v>
      </c>
      <c r="J35" s="15" t="n">
        <v>100</v>
      </c>
      <c r="K35" s="10" t="n">
        <v>75</v>
      </c>
      <c r="L35" s="10" t="n">
        <v>100</v>
      </c>
      <c r="M35" s="10" t="s">
        <v>482</v>
      </c>
      <c r="N35" s="10" t="s">
        <v>101</v>
      </c>
      <c r="O35" s="10" t="s">
        <v>483</v>
      </c>
      <c r="P35" s="10" t="n">
        <v>15.3</v>
      </c>
      <c r="Q35" s="10" t="n">
        <v>0.44</v>
      </c>
      <c r="R35" s="10" t="n">
        <v>0.42</v>
      </c>
      <c r="S35" s="10" t="n">
        <v>13.8334269052617</v>
      </c>
      <c r="T35" s="10" t="n">
        <v>24.6688420964524</v>
      </c>
      <c r="U35" s="10" t="n">
        <v>23.0787036904442</v>
      </c>
      <c r="V35" s="10" t="n">
        <v>0.1</v>
      </c>
      <c r="W35" s="10" t="n">
        <v>7.63375707328633</v>
      </c>
      <c r="X35" s="10" t="n">
        <v>36.7</v>
      </c>
      <c r="Y35" s="10" t="n">
        <v>35.1</v>
      </c>
      <c r="Z35" s="10" t="s">
        <v>176</v>
      </c>
      <c r="AA35" s="10" t="s">
        <v>104</v>
      </c>
      <c r="AB35" s="10" t="s">
        <v>105</v>
      </c>
      <c r="AC35" s="11" t="n">
        <v>424.70647668335</v>
      </c>
      <c r="AD35" s="12" t="n">
        <v>262</v>
      </c>
      <c r="AE35" s="11" t="n">
        <v>530.883095854187</v>
      </c>
      <c r="AF35" s="13" t="n">
        <v>55.2538022297011</v>
      </c>
      <c r="AG35" s="15" t="n">
        <v>7.43043625290765</v>
      </c>
      <c r="AH35" s="14" t="n">
        <v>74304.3625290765</v>
      </c>
      <c r="AI35" s="10" t="s">
        <v>484</v>
      </c>
      <c r="AJ35" s="10" t="s">
        <v>177</v>
      </c>
      <c r="AK35" s="10" t="s">
        <v>178</v>
      </c>
      <c r="AL35" s="10" t="s">
        <v>108</v>
      </c>
      <c r="AM35" s="10" t="s">
        <v>485</v>
      </c>
      <c r="AN35" s="10" t="s">
        <v>486</v>
      </c>
      <c r="AO35" s="10" t="s">
        <v>487</v>
      </c>
      <c r="AP35" s="10" t="s">
        <v>488</v>
      </c>
      <c r="AQ35" s="10" t="s">
        <v>489</v>
      </c>
      <c r="AR35" s="13" t="n">
        <v>16.0900005066437</v>
      </c>
      <c r="AS35" s="13" t="n">
        <v>24.70821679857</v>
      </c>
      <c r="AT35" s="10" t="n">
        <v>32.9945988722304</v>
      </c>
      <c r="AU35" s="10" t="n">
        <v>1.24</v>
      </c>
      <c r="AV35" s="10" t="n">
        <v>-0.247</v>
      </c>
      <c r="AW35" s="10" t="n">
        <v>14.763828</v>
      </c>
      <c r="AX35" s="10" t="n">
        <v>3.9686916</v>
      </c>
      <c r="AY35" s="10" t="n">
        <v>100</v>
      </c>
      <c r="AZ35" s="10" t="n">
        <v>5.15597575306459</v>
      </c>
      <c r="BA35" s="10" t="n">
        <v>100</v>
      </c>
      <c r="BB35" s="10"/>
      <c r="BC35" s="10" t="s">
        <v>114</v>
      </c>
      <c r="BD35" s="10" t="s">
        <v>177</v>
      </c>
      <c r="BE35" s="10"/>
      <c r="BF35" s="10"/>
      <c r="BG35" s="10" t="s">
        <v>129</v>
      </c>
      <c r="BH35" s="10" t="s">
        <v>117</v>
      </c>
      <c r="BQ35" s="5" t="n">
        <v>5.15597575306459</v>
      </c>
      <c r="BT35" s="5" t="n">
        <v>5.15597575306459</v>
      </c>
    </row>
    <row r="36" customFormat="false" ht="15" hidden="true" customHeight="true" outlineLevel="0" collapsed="false">
      <c r="A36" s="10" t="n">
        <v>35</v>
      </c>
      <c r="B36" s="10" t="s">
        <v>490</v>
      </c>
      <c r="C36" s="10" t="s">
        <v>491</v>
      </c>
      <c r="D36" s="10" t="s">
        <v>96</v>
      </c>
      <c r="E36" s="10" t="s">
        <v>97</v>
      </c>
      <c r="F36" s="10" t="n">
        <v>147534905344</v>
      </c>
      <c r="G36" s="10" t="s">
        <v>456</v>
      </c>
      <c r="H36" s="10" t="s">
        <v>143</v>
      </c>
      <c r="I36" s="10" t="n">
        <v>89.5</v>
      </c>
      <c r="J36" s="10" t="n">
        <v>100</v>
      </c>
      <c r="K36" s="10" t="n">
        <v>70</v>
      </c>
      <c r="L36" s="10" t="n">
        <v>100</v>
      </c>
      <c r="M36" s="10" t="s">
        <v>492</v>
      </c>
      <c r="N36" s="10" t="s">
        <v>101</v>
      </c>
      <c r="O36" s="10" t="s">
        <v>493</v>
      </c>
      <c r="P36" s="10" t="n">
        <v>19.4</v>
      </c>
      <c r="Q36" s="10" t="n">
        <v>0.79</v>
      </c>
      <c r="R36" s="10" t="n">
        <v>0.75</v>
      </c>
      <c r="S36" s="10" t="n">
        <v>16.4877402581511</v>
      </c>
      <c r="T36" s="10" t="n">
        <v>27.5407957769878</v>
      </c>
      <c r="U36" s="10" t="n">
        <v>29.2978587999153</v>
      </c>
      <c r="V36" s="10" t="n">
        <v>0.13</v>
      </c>
      <c r="W36" s="10" t="n">
        <v>5.22235655914275</v>
      </c>
      <c r="X36" s="10" t="n">
        <v>23</v>
      </c>
      <c r="Y36" s="10" t="n">
        <v>24.5</v>
      </c>
      <c r="Z36" s="10" t="s">
        <v>176</v>
      </c>
      <c r="AA36" s="10" t="s">
        <v>104</v>
      </c>
      <c r="AB36" s="10" t="s">
        <v>105</v>
      </c>
      <c r="AC36" s="11" t="n">
        <v>1784.90255740739</v>
      </c>
      <c r="AD36" s="12" t="n">
        <v>1400</v>
      </c>
      <c r="AE36" s="11" t="n">
        <v>2231.12819675923</v>
      </c>
      <c r="AF36" s="13" t="n">
        <v>28.1439765617822</v>
      </c>
      <c r="AG36" s="10" t="n">
        <v>7.35604258074957</v>
      </c>
      <c r="AH36" s="14" t="n">
        <v>73560.4258074957</v>
      </c>
      <c r="AI36" s="10" t="s">
        <v>456</v>
      </c>
      <c r="AJ36" s="10" t="s">
        <v>177</v>
      </c>
      <c r="AK36" s="10" t="s">
        <v>178</v>
      </c>
      <c r="AL36" s="10" t="s">
        <v>108</v>
      </c>
      <c r="AM36" s="10" t="s">
        <v>494</v>
      </c>
      <c r="AN36" s="10" t="s">
        <v>495</v>
      </c>
      <c r="AO36" s="10" t="s">
        <v>496</v>
      </c>
      <c r="AP36" s="10" t="s">
        <v>497</v>
      </c>
      <c r="AQ36" s="10" t="s">
        <v>498</v>
      </c>
      <c r="AR36" s="13" t="n">
        <v>78.4400067519467</v>
      </c>
      <c r="AS36" s="13" t="n">
        <v>25</v>
      </c>
      <c r="AT36" s="10" t="n">
        <v>28.4437556955537</v>
      </c>
      <c r="AU36" s="10" t="n">
        <v>0.03</v>
      </c>
      <c r="AV36" s="10" t="n">
        <v>0.409</v>
      </c>
      <c r="AW36" s="10" t="n">
        <v>20.43855</v>
      </c>
      <c r="AX36" s="10" t="n">
        <v>5.790129</v>
      </c>
      <c r="AY36" s="10" t="n">
        <v>100</v>
      </c>
      <c r="AZ36" s="10" t="n">
        <v>5.00411558582491</v>
      </c>
      <c r="BA36" s="10" t="n">
        <v>100</v>
      </c>
      <c r="BB36" s="10"/>
      <c r="BC36" s="10" t="s">
        <v>114</v>
      </c>
      <c r="BD36" s="10" t="s">
        <v>177</v>
      </c>
      <c r="BE36" s="10"/>
      <c r="BF36" s="10"/>
      <c r="BG36" s="10" t="s">
        <v>129</v>
      </c>
      <c r="BH36" s="10" t="s">
        <v>117</v>
      </c>
      <c r="BQ36" s="5" t="n">
        <v>5.00411558582491</v>
      </c>
      <c r="BT36" s="5" t="n">
        <v>5.00411558582491</v>
      </c>
    </row>
    <row r="37" customFormat="false" ht="15" hidden="true" customHeight="true" outlineLevel="0" collapsed="false">
      <c r="A37" s="10" t="n">
        <v>36</v>
      </c>
      <c r="B37" s="10" t="s">
        <v>499</v>
      </c>
      <c r="C37" s="10" t="s">
        <v>500</v>
      </c>
      <c r="D37" s="10" t="s">
        <v>454</v>
      </c>
      <c r="E37" s="10" t="s">
        <v>501</v>
      </c>
      <c r="F37" s="10" t="n">
        <v>82858508288</v>
      </c>
      <c r="G37" s="10" t="s">
        <v>502</v>
      </c>
      <c r="H37" s="10" t="s">
        <v>198</v>
      </c>
      <c r="I37" s="10" t="n">
        <v>58</v>
      </c>
      <c r="J37" s="10" t="n">
        <v>0</v>
      </c>
      <c r="K37" s="10" t="n">
        <v>35</v>
      </c>
      <c r="L37" s="10" t="n">
        <v>100</v>
      </c>
      <c r="M37" s="10" t="s">
        <v>503</v>
      </c>
      <c r="N37" s="10" t="s">
        <v>101</v>
      </c>
      <c r="O37" s="10" t="s">
        <v>504</v>
      </c>
      <c r="P37" s="10" t="n">
        <v>12</v>
      </c>
      <c r="Q37" s="10" t="n">
        <v>0.21</v>
      </c>
      <c r="R37" s="10" t="n">
        <v>0.21</v>
      </c>
      <c r="S37" s="10" t="n">
        <v>11.2815496106424</v>
      </c>
      <c r="T37" s="10" t="n">
        <v>21.7039608443092</v>
      </c>
      <c r="U37" s="10" t="n">
        <v>21.0666410064932</v>
      </c>
      <c r="V37" s="10" t="n">
        <v>0.1</v>
      </c>
      <c r="W37" s="10" t="n">
        <v>1.96366644801301</v>
      </c>
      <c r="X37" s="10" t="n">
        <v>13</v>
      </c>
      <c r="Y37" s="10" t="n">
        <v>57</v>
      </c>
      <c r="Z37" s="10" t="s">
        <v>176</v>
      </c>
      <c r="AA37" s="10" t="s">
        <v>104</v>
      </c>
      <c r="AB37" s="10" t="s">
        <v>505</v>
      </c>
      <c r="AC37" s="11" t="n">
        <v>543.235276520356</v>
      </c>
      <c r="AD37" s="12" t="n">
        <v>885</v>
      </c>
      <c r="AE37" s="11" t="n">
        <v>679.044095650445</v>
      </c>
      <c r="AF37" s="13" t="n">
        <v>-35.2489486150793</v>
      </c>
      <c r="AG37" s="10" t="n">
        <v>2.95492379755887</v>
      </c>
      <c r="AH37" s="14" t="n">
        <v>29549.2379755887</v>
      </c>
      <c r="AI37" s="10" t="s">
        <v>502</v>
      </c>
      <c r="AJ37" s="10" t="s">
        <v>506</v>
      </c>
      <c r="AK37" s="10" t="s">
        <v>507</v>
      </c>
      <c r="AL37" s="10" t="s">
        <v>108</v>
      </c>
      <c r="AM37" s="10" t="s">
        <v>508</v>
      </c>
      <c r="AN37" s="10" t="s">
        <v>509</v>
      </c>
      <c r="AO37" s="10" t="s">
        <v>510</v>
      </c>
      <c r="AP37" s="10" t="s">
        <v>511</v>
      </c>
      <c r="AQ37" s="10" t="s">
        <v>512</v>
      </c>
      <c r="AR37" s="13" t="n">
        <v>75.4900018445521</v>
      </c>
      <c r="AS37" s="13" t="n">
        <v>20.316037</v>
      </c>
      <c r="AT37" s="10" t="n">
        <v>8.99515294277977</v>
      </c>
      <c r="AU37" s="10" t="n">
        <v>2.04</v>
      </c>
      <c r="AV37" s="10" t="n">
        <v>0.559</v>
      </c>
      <c r="AW37" s="10" t="n">
        <v>12.165851</v>
      </c>
      <c r="AX37" s="10" t="n">
        <v>2.641616</v>
      </c>
      <c r="AY37" s="10" t="n">
        <v>100</v>
      </c>
      <c r="AZ37" s="10" t="n">
        <v>0</v>
      </c>
      <c r="BA37" s="10" t="n">
        <v>100</v>
      </c>
      <c r="BB37" s="10"/>
      <c r="BC37" s="10" t="s">
        <v>114</v>
      </c>
      <c r="BD37" s="10" t="s">
        <v>157</v>
      </c>
      <c r="BE37" s="10"/>
      <c r="BF37" s="10"/>
      <c r="BG37" s="10" t="s">
        <v>337</v>
      </c>
      <c r="BH37" s="10" t="s">
        <v>117</v>
      </c>
      <c r="BQ37" s="5" t="n">
        <v>0</v>
      </c>
      <c r="BT37" s="5" t="n">
        <v>0</v>
      </c>
    </row>
    <row r="38" customFormat="false" ht="15" hidden="true" customHeight="true" outlineLevel="0" collapsed="false">
      <c r="A38" s="10" t="n">
        <v>37</v>
      </c>
      <c r="B38" s="10" t="s">
        <v>513</v>
      </c>
      <c r="C38" s="10" t="s">
        <v>514</v>
      </c>
      <c r="D38" s="10" t="s">
        <v>96</v>
      </c>
      <c r="E38" s="10" t="s">
        <v>303</v>
      </c>
      <c r="F38" s="10" t="n">
        <v>276219166720</v>
      </c>
      <c r="G38" s="10"/>
      <c r="H38" s="10"/>
      <c r="I38" s="10" t="n">
        <v>10</v>
      </c>
      <c r="J38" s="10" t="n">
        <v>3.37375073486185</v>
      </c>
      <c r="K38" s="10"/>
      <c r="L38" s="10" t="n">
        <v>100</v>
      </c>
      <c r="M38" s="10"/>
      <c r="N38" s="10"/>
      <c r="O38" s="10"/>
      <c r="P38" s="10"/>
      <c r="Q38" s="10"/>
      <c r="R38" s="10"/>
      <c r="S38" s="10"/>
      <c r="T38" s="10" t="n">
        <v>2.46913580246914</v>
      </c>
      <c r="U38" s="10" t="n">
        <v>7.52895752895753</v>
      </c>
      <c r="V38" s="10"/>
      <c r="W38" s="10"/>
      <c r="X38" s="10"/>
      <c r="Y38" s="10"/>
      <c r="Z38" s="10"/>
      <c r="AA38" s="10"/>
      <c r="AB38" s="10"/>
      <c r="AC38" s="10" t="n">
        <v>71.0309060661145</v>
      </c>
      <c r="AD38" s="10"/>
      <c r="AE38" s="10" t="n">
        <v>88.7886325826431</v>
      </c>
      <c r="AF38" s="10" t="n">
        <v>-505.370287125104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 t="n">
        <v>1.22000002905302</v>
      </c>
      <c r="AS38" s="10" t="n">
        <v>5</v>
      </c>
      <c r="AT38" s="10" t="n">
        <v>72.777567690691</v>
      </c>
      <c r="AU38" s="10"/>
      <c r="AV38" s="10" t="n">
        <v>1.417</v>
      </c>
      <c r="AW38" s="10" t="n">
        <v>440.57376</v>
      </c>
      <c r="AX38" s="10" t="n">
        <v>11.555909</v>
      </c>
      <c r="AY38" s="10" t="n">
        <v>75</v>
      </c>
      <c r="AZ38" s="10" t="n">
        <v>32.5249853027631</v>
      </c>
      <c r="BA38" s="10" t="n">
        <v>75</v>
      </c>
      <c r="BB38" s="10"/>
      <c r="BC38" s="10" t="s">
        <v>114</v>
      </c>
      <c r="BD38" s="10" t="s">
        <v>157</v>
      </c>
      <c r="BE38" s="10"/>
      <c r="BF38" s="10"/>
      <c r="BG38" s="10" t="s">
        <v>184</v>
      </c>
      <c r="BH38" s="10" t="s">
        <v>313</v>
      </c>
      <c r="BQ38" s="5" t="n">
        <v>32.5249853027631</v>
      </c>
      <c r="BT38" s="5" t="n">
        <v>32.5249853027631</v>
      </c>
    </row>
    <row r="39" customFormat="false" ht="15" hidden="true" customHeight="true" outlineLevel="0" collapsed="false">
      <c r="A39" s="10" t="n">
        <v>38</v>
      </c>
      <c r="B39" s="10" t="s">
        <v>515</v>
      </c>
      <c r="C39" s="10" t="s">
        <v>516</v>
      </c>
      <c r="D39" s="10" t="s">
        <v>454</v>
      </c>
      <c r="E39" s="10" t="s">
        <v>517</v>
      </c>
      <c r="F39" s="10" t="n">
        <v>162603532288</v>
      </c>
      <c r="G39" s="10"/>
      <c r="H39" s="10"/>
      <c r="I39" s="10" t="n">
        <v>34.5</v>
      </c>
      <c r="J39" s="10" t="n">
        <v>17.2160995572556</v>
      </c>
      <c r="K39" s="10"/>
      <c r="L39" s="10" t="n">
        <v>100</v>
      </c>
      <c r="M39" s="10"/>
      <c r="N39" s="10"/>
      <c r="O39" s="10"/>
      <c r="P39" s="10"/>
      <c r="Q39" s="10"/>
      <c r="R39" s="10"/>
      <c r="S39" s="10" t="n">
        <v>41.4535736659993</v>
      </c>
      <c r="T39" s="10" t="n">
        <v>12.733796156858</v>
      </c>
      <c r="U39" s="10" t="n">
        <v>14.3291157863763</v>
      </c>
      <c r="V39" s="10"/>
      <c r="W39" s="10" t="n">
        <v>0.705409568752281</v>
      </c>
      <c r="X39" s="10"/>
      <c r="Y39" s="10"/>
      <c r="Z39" s="10"/>
      <c r="AA39" s="10"/>
      <c r="AB39" s="10"/>
      <c r="AC39" s="10" t="n">
        <v>1181.98298475045</v>
      </c>
      <c r="AD39" s="10"/>
      <c r="AE39" s="10" t="n">
        <v>1477.47873093806</v>
      </c>
      <c r="AF39" s="10" t="n">
        <v>-373.712402990484</v>
      </c>
      <c r="AG39" s="10" t="n">
        <v>2.0993479233419</v>
      </c>
      <c r="AH39" s="10" t="n">
        <v>20993.479233419</v>
      </c>
      <c r="AI39" s="10"/>
      <c r="AJ39" s="10"/>
      <c r="AK39" s="10"/>
      <c r="AL39" s="10"/>
      <c r="AM39" s="10"/>
      <c r="AN39" s="10"/>
      <c r="AO39" s="10"/>
      <c r="AP39" s="10"/>
      <c r="AQ39" s="10"/>
      <c r="AR39" s="10" t="n">
        <v>145.300002673902</v>
      </c>
      <c r="AS39" s="10" t="n">
        <v>12.345390480724</v>
      </c>
      <c r="AT39" s="10" t="n">
        <v>10.1684702748662</v>
      </c>
      <c r="AU39" s="10" t="n">
        <v>0.18</v>
      </c>
      <c r="AV39" s="10" t="n">
        <v>0.667</v>
      </c>
      <c r="AW39" s="10" t="n">
        <v>48.169304</v>
      </c>
      <c r="AX39" s="10" t="n">
        <v>6.121383</v>
      </c>
      <c r="AY39" s="10" t="n">
        <v>100</v>
      </c>
      <c r="AZ39" s="10" t="n">
        <v>0.196524305764713</v>
      </c>
      <c r="BA39" s="10" t="n">
        <v>100</v>
      </c>
      <c r="BB39" s="10"/>
      <c r="BC39" s="10" t="s">
        <v>114</v>
      </c>
      <c r="BD39" s="10" t="s">
        <v>157</v>
      </c>
      <c r="BE39" s="10"/>
      <c r="BF39" s="10"/>
      <c r="BG39" s="10" t="s">
        <v>184</v>
      </c>
      <c r="BH39" s="10" t="s">
        <v>117</v>
      </c>
      <c r="BQ39" s="5" t="n">
        <v>0.196524305764713</v>
      </c>
      <c r="BT39" s="5" t="n">
        <v>0.196524305764713</v>
      </c>
    </row>
    <row r="40" customFormat="false" ht="15" hidden="true" customHeight="true" outlineLevel="0" collapsed="false">
      <c r="A40" s="10" t="n">
        <v>39</v>
      </c>
      <c r="B40" s="10" t="s">
        <v>518</v>
      </c>
      <c r="C40" s="10" t="s">
        <v>519</v>
      </c>
      <c r="D40" s="10" t="s">
        <v>365</v>
      </c>
      <c r="E40" s="10" t="s">
        <v>520</v>
      </c>
      <c r="F40" s="10" t="n">
        <v>298218848256</v>
      </c>
      <c r="G40" s="10"/>
      <c r="H40" s="10"/>
      <c r="I40" s="10" t="n">
        <v>79.5</v>
      </c>
      <c r="J40" s="10" t="n">
        <v>38.0929336423799</v>
      </c>
      <c r="K40" s="10"/>
      <c r="L40" s="10" t="n">
        <v>100</v>
      </c>
      <c r="M40" s="10"/>
      <c r="N40" s="10"/>
      <c r="O40" s="10"/>
      <c r="P40" s="10"/>
      <c r="Q40" s="10"/>
      <c r="R40" s="10"/>
      <c r="S40" s="10" t="n">
        <v>266.261541448551</v>
      </c>
      <c r="T40" s="10" t="n">
        <v>24.0088525924023</v>
      </c>
      <c r="U40" s="10" t="n">
        <v>23.7089384932376</v>
      </c>
      <c r="V40" s="10"/>
      <c r="W40" s="10" t="n">
        <v>0.0721228254118951</v>
      </c>
      <c r="X40" s="10"/>
      <c r="Y40" s="10"/>
      <c r="Z40" s="10"/>
      <c r="AA40" s="10"/>
      <c r="AB40" s="10"/>
      <c r="AC40" s="10" t="n">
        <v>5.64644841149933</v>
      </c>
      <c r="AD40" s="10"/>
      <c r="AE40" s="10" t="n">
        <v>7.05806051437416</v>
      </c>
      <c r="AF40" s="10" t="n">
        <v>-3042.22298814713</v>
      </c>
      <c r="AG40" s="10" t="n">
        <v>3.48381703141472</v>
      </c>
      <c r="AH40" s="10" t="n">
        <v>34838.1703141472</v>
      </c>
      <c r="AI40" s="10"/>
      <c r="AJ40" s="10"/>
      <c r="AK40" s="10"/>
      <c r="AL40" s="10"/>
      <c r="AM40" s="10"/>
      <c r="AN40" s="10"/>
      <c r="AO40" s="10"/>
      <c r="AP40" s="10"/>
      <c r="AQ40" s="10"/>
      <c r="AR40" s="10" t="n">
        <v>0.840000030300299</v>
      </c>
      <c r="AS40" s="10" t="n">
        <v>25</v>
      </c>
      <c r="AT40" s="10" t="n">
        <v>8.40245299330257</v>
      </c>
      <c r="AU40" s="10"/>
      <c r="AV40" s="10" t="n">
        <v>0.288</v>
      </c>
      <c r="AW40" s="10" t="n">
        <v>264.0238</v>
      </c>
      <c r="AX40" s="10" t="n">
        <v>66.06493</v>
      </c>
      <c r="AY40" s="10" t="n">
        <v>75</v>
      </c>
      <c r="AZ40" s="10" t="n">
        <v>4.16872039652847</v>
      </c>
      <c r="BA40" s="10" t="n">
        <v>75</v>
      </c>
      <c r="BB40" s="10"/>
      <c r="BC40" s="10" t="s">
        <v>114</v>
      </c>
      <c r="BD40" s="10" t="s">
        <v>115</v>
      </c>
      <c r="BE40" s="10"/>
      <c r="BF40" s="10"/>
      <c r="BG40" s="10" t="s">
        <v>184</v>
      </c>
      <c r="BH40" s="10" t="s">
        <v>117</v>
      </c>
      <c r="BQ40" s="5" t="n">
        <v>4.16872039652847</v>
      </c>
      <c r="BT40" s="5" t="n">
        <v>4.16872039652847</v>
      </c>
    </row>
    <row r="41" customFormat="false" ht="15" hidden="true" customHeight="true" outlineLevel="0" collapsed="false">
      <c r="A41" s="10" t="n">
        <v>40</v>
      </c>
      <c r="B41" s="10" t="s">
        <v>521</v>
      </c>
      <c r="C41" s="10" t="s">
        <v>522</v>
      </c>
      <c r="D41" s="10" t="s">
        <v>132</v>
      </c>
      <c r="E41" s="10" t="s">
        <v>523</v>
      </c>
      <c r="F41" s="10" t="n">
        <v>229876105216</v>
      </c>
      <c r="G41" s="10"/>
      <c r="H41" s="10"/>
      <c r="I41" s="10" t="n">
        <v>73.5</v>
      </c>
      <c r="J41" s="10" t="n">
        <v>33.793932332058</v>
      </c>
      <c r="K41" s="10"/>
      <c r="L41" s="10" t="n">
        <v>100</v>
      </c>
      <c r="M41" s="10"/>
      <c r="N41" s="10"/>
      <c r="O41" s="10"/>
      <c r="P41" s="10"/>
      <c r="Q41" s="10"/>
      <c r="R41" s="10"/>
      <c r="S41" s="10" t="n">
        <v>65.1115304503134</v>
      </c>
      <c r="T41" s="10" t="n">
        <v>19.1442114239116</v>
      </c>
      <c r="U41" s="10" t="n">
        <v>23.8102744210007</v>
      </c>
      <c r="V41" s="10"/>
      <c r="W41" s="10" t="n">
        <v>-0.104378644001585</v>
      </c>
      <c r="X41" s="10"/>
      <c r="Y41" s="10"/>
      <c r="Z41" s="10"/>
      <c r="AA41" s="10"/>
      <c r="AB41" s="10"/>
      <c r="AC41" s="10" t="n">
        <v>132.053599670215</v>
      </c>
      <c r="AD41" s="10"/>
      <c r="AE41" s="10" t="n">
        <v>165.066999587769</v>
      </c>
      <c r="AF41" s="10" t="n">
        <v>-745.293125509377</v>
      </c>
      <c r="AG41" s="10" t="n">
        <v>1.03021624362301</v>
      </c>
      <c r="AH41" s="10" t="n">
        <v>10302.1624362301</v>
      </c>
      <c r="AI41" s="10"/>
      <c r="AJ41" s="10"/>
      <c r="AK41" s="10"/>
      <c r="AL41" s="10"/>
      <c r="AM41" s="10"/>
      <c r="AN41" s="10"/>
      <c r="AO41" s="10"/>
      <c r="AP41" s="10"/>
      <c r="AQ41" s="10"/>
      <c r="AR41" s="10" t="n">
        <v>15.4799987831676</v>
      </c>
      <c r="AS41" s="10" t="n">
        <v>25</v>
      </c>
      <c r="AT41" s="10" t="n">
        <v>10.6632428674269</v>
      </c>
      <c r="AU41" s="10"/>
      <c r="AV41" s="10"/>
      <c r="AW41" s="10" t="n">
        <v>90.135666</v>
      </c>
      <c r="AX41" s="10" t="n">
        <v>17.838833</v>
      </c>
      <c r="AY41" s="10" t="n">
        <v>25</v>
      </c>
      <c r="AZ41" s="10" t="n">
        <v>8.04372154542038</v>
      </c>
      <c r="BA41" s="10" t="n">
        <v>25</v>
      </c>
      <c r="BB41" s="10"/>
      <c r="BC41" s="10" t="s">
        <v>114</v>
      </c>
      <c r="BD41" s="10" t="s">
        <v>157</v>
      </c>
      <c r="BE41" s="10"/>
      <c r="BF41" s="10"/>
      <c r="BG41" s="10" t="s">
        <v>184</v>
      </c>
      <c r="BH41" s="10" t="s">
        <v>117</v>
      </c>
      <c r="BQ41" s="5" t="n">
        <v>8.04372154542038</v>
      </c>
      <c r="BT41" s="5" t="n">
        <v>8.04372154542038</v>
      </c>
    </row>
    <row r="42" customFormat="false" ht="15" hidden="true" customHeight="true" outlineLevel="0" collapsed="false">
      <c r="A42" s="10" t="n">
        <v>41</v>
      </c>
      <c r="B42" s="10" t="s">
        <v>524</v>
      </c>
      <c r="C42" s="10" t="s">
        <v>525</v>
      </c>
      <c r="D42" s="10" t="s">
        <v>132</v>
      </c>
      <c r="E42" s="10" t="s">
        <v>133</v>
      </c>
      <c r="F42" s="10" t="n">
        <v>88759902208</v>
      </c>
      <c r="G42" s="10"/>
      <c r="H42" s="10"/>
      <c r="I42" s="10" t="n">
        <v>87</v>
      </c>
      <c r="J42" s="10" t="n">
        <v>53.9378447804087</v>
      </c>
      <c r="K42" s="10"/>
      <c r="L42" s="10" t="n">
        <v>100</v>
      </c>
      <c r="M42" s="10"/>
      <c r="N42" s="10"/>
      <c r="O42" s="10"/>
      <c r="P42" s="10"/>
      <c r="Q42" s="10"/>
      <c r="R42" s="10"/>
      <c r="S42" s="10" t="n">
        <v>5.93883744345472</v>
      </c>
      <c r="T42" s="10" t="n">
        <v>116.012608117596</v>
      </c>
      <c r="U42" s="10" t="n">
        <v>112.12476266437</v>
      </c>
      <c r="V42" s="10"/>
      <c r="W42" s="10" t="n">
        <v>-2.78350749357139</v>
      </c>
      <c r="X42" s="10"/>
      <c r="Y42" s="10"/>
      <c r="Z42" s="10"/>
      <c r="AA42" s="10"/>
      <c r="AB42" s="10"/>
      <c r="AC42" s="10" t="n">
        <v>170.980754052404</v>
      </c>
      <c r="AD42" s="10"/>
      <c r="AE42" s="10" t="n">
        <v>213.725942565505</v>
      </c>
      <c r="AF42" s="10" t="n">
        <v>-27.9722979423386</v>
      </c>
      <c r="AG42" s="10" t="n">
        <v>1.64430831229666</v>
      </c>
      <c r="AH42" s="10" t="n">
        <v>16443.0831229666</v>
      </c>
      <c r="AI42" s="10"/>
      <c r="AJ42" s="10"/>
      <c r="AK42" s="10"/>
      <c r="AL42" s="10"/>
      <c r="AM42" s="10"/>
      <c r="AN42" s="10"/>
      <c r="AO42" s="10"/>
      <c r="AP42" s="10"/>
      <c r="AQ42" s="10"/>
      <c r="AR42" s="10" t="n">
        <v>49.2099970187209</v>
      </c>
      <c r="AS42" s="10" t="n">
        <v>25</v>
      </c>
      <c r="AT42" s="10" t="n">
        <v>4.34314047074792</v>
      </c>
      <c r="AU42" s="10"/>
      <c r="AV42" s="10" t="n">
        <v>0.544</v>
      </c>
      <c r="AW42" s="10" t="n">
        <v>5.558017</v>
      </c>
      <c r="AX42" s="10" t="n">
        <v>6.630385</v>
      </c>
      <c r="AY42" s="10" t="n">
        <v>25</v>
      </c>
      <c r="AZ42" s="10" t="n">
        <v>13.9254467864737</v>
      </c>
      <c r="BA42" s="10" t="n">
        <v>25</v>
      </c>
      <c r="BB42" s="10"/>
      <c r="BC42" s="10" t="s">
        <v>114</v>
      </c>
      <c r="BD42" s="10" t="s">
        <v>177</v>
      </c>
      <c r="BE42" s="10"/>
      <c r="BF42" s="10"/>
      <c r="BG42" s="10" t="s">
        <v>337</v>
      </c>
      <c r="BH42" s="10" t="s">
        <v>117</v>
      </c>
      <c r="BQ42" s="5" t="n">
        <v>13.9254467864737</v>
      </c>
      <c r="BT42" s="5" t="n">
        <v>13.9254467864737</v>
      </c>
    </row>
    <row r="43" customFormat="false" ht="15" hidden="true" customHeight="true" outlineLevel="0" collapsed="false">
      <c r="A43" s="10" t="n">
        <v>42</v>
      </c>
      <c r="B43" s="10" t="s">
        <v>526</v>
      </c>
      <c r="C43" s="10" t="s">
        <v>527</v>
      </c>
      <c r="D43" s="10" t="s">
        <v>252</v>
      </c>
      <c r="E43" s="10" t="s">
        <v>253</v>
      </c>
      <c r="F43" s="10" t="n">
        <v>200479031296</v>
      </c>
      <c r="G43" s="10"/>
      <c r="H43" s="10"/>
      <c r="I43" s="10" t="n">
        <v>72</v>
      </c>
      <c r="J43" s="10" t="n">
        <v>28.2610169491525</v>
      </c>
      <c r="K43" s="10"/>
      <c r="L43" s="10" t="n">
        <v>100</v>
      </c>
      <c r="M43" s="10"/>
      <c r="N43" s="10"/>
      <c r="O43" s="10"/>
      <c r="P43" s="10"/>
      <c r="Q43" s="10"/>
      <c r="R43" s="10"/>
      <c r="S43" s="10" t="n">
        <v>39.5350026175885</v>
      </c>
      <c r="T43" s="10" t="n">
        <v>24.8340395480226</v>
      </c>
      <c r="U43" s="10" t="n">
        <v>34.095613921594</v>
      </c>
      <c r="V43" s="10"/>
      <c r="W43" s="10" t="n">
        <v>1.1925465120472</v>
      </c>
      <c r="X43" s="10"/>
      <c r="Y43" s="10"/>
      <c r="Z43" s="10"/>
      <c r="AA43" s="10"/>
      <c r="AB43" s="10"/>
      <c r="AC43" s="10" t="n">
        <v>1893.85222932927</v>
      </c>
      <c r="AD43" s="10"/>
      <c r="AE43" s="10" t="n">
        <v>2367.31528666159</v>
      </c>
      <c r="AF43" s="10" t="n">
        <v>-172.460539428014</v>
      </c>
      <c r="AG43" s="10" t="n">
        <v>3.44617589172396</v>
      </c>
      <c r="AH43" s="10" t="n">
        <v>34461.7589172396</v>
      </c>
      <c r="AI43" s="10"/>
      <c r="AJ43" s="10"/>
      <c r="AK43" s="10"/>
      <c r="AL43" s="10"/>
      <c r="AM43" s="10"/>
      <c r="AN43" s="10"/>
      <c r="AO43" s="10"/>
      <c r="AP43" s="10"/>
      <c r="AQ43" s="10"/>
      <c r="AR43" s="10" t="n">
        <v>112.980000788233</v>
      </c>
      <c r="AS43" s="10" t="n">
        <v>24.8410665</v>
      </c>
      <c r="AT43" s="10" t="n">
        <v>20.9534013689289</v>
      </c>
      <c r="AU43" s="10" t="n">
        <v>0.26</v>
      </c>
      <c r="AV43" s="10" t="n">
        <v>0.504</v>
      </c>
      <c r="AW43" s="10" t="n">
        <v>57.08975</v>
      </c>
      <c r="AX43" s="10" t="n">
        <v>14.158119</v>
      </c>
      <c r="AY43" s="10" t="n">
        <v>100</v>
      </c>
      <c r="AZ43" s="10" t="n">
        <v>21.4971751412429</v>
      </c>
      <c r="BA43" s="10" t="n">
        <v>100</v>
      </c>
      <c r="BB43" s="10"/>
      <c r="BC43" s="10" t="s">
        <v>114</v>
      </c>
      <c r="BD43" s="10" t="s">
        <v>157</v>
      </c>
      <c r="BE43" s="10"/>
      <c r="BF43" s="10"/>
      <c r="BG43" s="10" t="s">
        <v>116</v>
      </c>
      <c r="BH43" s="10" t="s">
        <v>117</v>
      </c>
      <c r="BQ43" s="5" t="n">
        <v>21.4971751412429</v>
      </c>
      <c r="BT43" s="5" t="n">
        <v>21.4971751412429</v>
      </c>
    </row>
    <row r="44" customFormat="false" ht="15" hidden="true" customHeight="true" outlineLevel="0" collapsed="false">
      <c r="A44" s="10" t="n">
        <v>43</v>
      </c>
      <c r="B44" s="10" t="s">
        <v>528</v>
      </c>
      <c r="C44" s="10" t="s">
        <v>529</v>
      </c>
      <c r="D44" s="10" t="s">
        <v>132</v>
      </c>
      <c r="E44" s="10" t="s">
        <v>530</v>
      </c>
      <c r="F44" s="10" t="n">
        <v>124590465024</v>
      </c>
      <c r="G44" s="10"/>
      <c r="H44" s="10"/>
      <c r="I44" s="10" t="n">
        <v>43</v>
      </c>
      <c r="J44" s="10" t="n">
        <v>20.2596803554886</v>
      </c>
      <c r="K44" s="10"/>
      <c r="L44" s="10" t="n">
        <v>100</v>
      </c>
      <c r="M44" s="10"/>
      <c r="N44" s="10"/>
      <c r="O44" s="10"/>
      <c r="P44" s="10"/>
      <c r="Q44" s="10"/>
      <c r="R44" s="10"/>
      <c r="S44" s="10" t="n">
        <v>33.1762805803174</v>
      </c>
      <c r="T44" s="10" t="n">
        <v>12.2663351543699</v>
      </c>
      <c r="U44" s="10" t="n">
        <v>16.7170990190207</v>
      </c>
      <c r="V44" s="10"/>
      <c r="W44" s="10" t="n">
        <v>1.65294064009776</v>
      </c>
      <c r="X44" s="10"/>
      <c r="Y44" s="10"/>
      <c r="Z44" s="10"/>
      <c r="AA44" s="10"/>
      <c r="AB44" s="10"/>
      <c r="AC44" s="10" t="n">
        <v>122.022124743576</v>
      </c>
      <c r="AD44" s="10"/>
      <c r="AE44" s="10" t="n">
        <v>152.52765592947</v>
      </c>
      <c r="AF44" s="10" t="n">
        <v>-89.1132452290365</v>
      </c>
      <c r="AG44" s="10" t="n">
        <v>1.85286384440985</v>
      </c>
      <c r="AH44" s="10" t="n">
        <v>18528.6384440985</v>
      </c>
      <c r="AI44" s="10"/>
      <c r="AJ44" s="10"/>
      <c r="AK44" s="10"/>
      <c r="AL44" s="10"/>
      <c r="AM44" s="10"/>
      <c r="AN44" s="10"/>
      <c r="AO44" s="10"/>
      <c r="AP44" s="10"/>
      <c r="AQ44" s="10"/>
      <c r="AR44" s="10" t="n">
        <v>6.86999992854914</v>
      </c>
      <c r="AS44" s="10" t="n">
        <v>16.936001</v>
      </c>
      <c r="AT44" s="10" t="n">
        <v>22.2019877626594</v>
      </c>
      <c r="AU44" s="10"/>
      <c r="AV44" s="10"/>
      <c r="AW44" s="10" t="n">
        <v>41.9869</v>
      </c>
      <c r="AX44" s="10" t="n">
        <v>5.6793795</v>
      </c>
      <c r="AY44" s="10" t="n">
        <v>75</v>
      </c>
      <c r="AZ44" s="10" t="n">
        <v>5.76892857912258</v>
      </c>
      <c r="BA44" s="10" t="n">
        <v>75</v>
      </c>
      <c r="BB44" s="10"/>
      <c r="BC44" s="10" t="s">
        <v>114</v>
      </c>
      <c r="BD44" s="10" t="s">
        <v>157</v>
      </c>
      <c r="BE44" s="10"/>
      <c r="BF44" s="10"/>
      <c r="BG44" s="10" t="s">
        <v>116</v>
      </c>
      <c r="BH44" s="10" t="s">
        <v>117</v>
      </c>
      <c r="BQ44" s="5" t="n">
        <v>5.76892857912258</v>
      </c>
      <c r="BT44" s="5" t="n">
        <v>5.76892857912258</v>
      </c>
    </row>
    <row r="45" customFormat="false" ht="15" hidden="true" customHeight="true" outlineLevel="0" collapsed="false">
      <c r="A45" s="10" t="n">
        <v>44</v>
      </c>
      <c r="B45" s="10" t="s">
        <v>531</v>
      </c>
      <c r="C45" s="10" t="s">
        <v>532</v>
      </c>
      <c r="D45" s="10" t="s">
        <v>147</v>
      </c>
      <c r="E45" s="10" t="s">
        <v>533</v>
      </c>
      <c r="F45" s="10" t="n">
        <v>100822802432</v>
      </c>
      <c r="G45" s="10"/>
      <c r="H45" s="10"/>
      <c r="I45" s="10" t="n">
        <v>45</v>
      </c>
      <c r="J45" s="10" t="n">
        <v>22.2201423075332</v>
      </c>
      <c r="K45" s="10"/>
      <c r="L45" s="10" t="n">
        <v>100</v>
      </c>
      <c r="M45" s="10"/>
      <c r="N45" s="10"/>
      <c r="O45" s="10"/>
      <c r="P45" s="10"/>
      <c r="Q45" s="10"/>
      <c r="R45" s="10"/>
      <c r="S45" s="10" t="n">
        <v>97.418029593276</v>
      </c>
      <c r="T45" s="10" t="n">
        <v>12.1485403825204</v>
      </c>
      <c r="U45" s="10" t="n">
        <v>13.7862603553448</v>
      </c>
      <c r="V45" s="10"/>
      <c r="W45" s="10" t="n">
        <v>-0.130606299670216</v>
      </c>
      <c r="X45" s="10"/>
      <c r="Y45" s="10"/>
      <c r="Z45" s="10"/>
      <c r="AA45" s="10"/>
      <c r="AB45" s="10"/>
      <c r="AC45" s="10" t="n">
        <v>67.7720506132526</v>
      </c>
      <c r="AD45" s="10"/>
      <c r="AE45" s="10" t="n">
        <v>84.7150632665658</v>
      </c>
      <c r="AF45" s="10" t="n">
        <v>-1376.8329878516</v>
      </c>
      <c r="AG45" s="10" t="n">
        <v>1.35477288146902</v>
      </c>
      <c r="AH45" s="10" t="n">
        <v>13547.7288146902</v>
      </c>
      <c r="AI45" s="10"/>
      <c r="AJ45" s="10"/>
      <c r="AK45" s="10"/>
      <c r="AL45" s="10"/>
      <c r="AM45" s="10"/>
      <c r="AN45" s="10"/>
      <c r="AO45" s="10"/>
      <c r="AP45" s="10"/>
      <c r="AQ45" s="10"/>
      <c r="AR45" s="10" t="n">
        <v>10.4600004890976</v>
      </c>
      <c r="AS45" s="10" t="n">
        <v>12.537592419424</v>
      </c>
      <c r="AT45" s="10" t="n">
        <v>8.09895442318984</v>
      </c>
      <c r="AU45" s="10" t="n">
        <v>0.04</v>
      </c>
      <c r="AV45" s="10" t="n">
        <v>0.517</v>
      </c>
      <c r="AW45" s="10" t="n">
        <v>119.608025</v>
      </c>
      <c r="AX45" s="10" t="n">
        <v>13.885682</v>
      </c>
      <c r="AY45" s="10" t="n">
        <v>50</v>
      </c>
      <c r="AZ45" s="10" t="n">
        <v>1.24381196651912</v>
      </c>
      <c r="BA45" s="10" t="n">
        <v>50</v>
      </c>
      <c r="BB45" s="10"/>
      <c r="BC45" s="10" t="s">
        <v>114</v>
      </c>
      <c r="BD45" s="10" t="s">
        <v>157</v>
      </c>
      <c r="BE45" s="10"/>
      <c r="BF45" s="10"/>
      <c r="BG45" s="10" t="s">
        <v>184</v>
      </c>
      <c r="BH45" s="10" t="s">
        <v>117</v>
      </c>
      <c r="BQ45" s="5" t="n">
        <v>1.24381196651912</v>
      </c>
      <c r="BT45" s="5" t="n">
        <v>1.24381196651912</v>
      </c>
    </row>
    <row r="46" customFormat="false" ht="15" hidden="true" customHeight="true" outlineLevel="0" collapsed="false">
      <c r="A46" s="10" t="n">
        <v>45</v>
      </c>
      <c r="B46" s="10" t="s">
        <v>534</v>
      </c>
      <c r="C46" s="10" t="s">
        <v>535</v>
      </c>
      <c r="D46" s="10" t="s">
        <v>252</v>
      </c>
      <c r="E46" s="10" t="s">
        <v>536</v>
      </c>
      <c r="F46" s="10" t="n">
        <v>200421539840</v>
      </c>
      <c r="G46" s="10"/>
      <c r="H46" s="10"/>
      <c r="I46" s="10" t="n">
        <v>37.5</v>
      </c>
      <c r="J46" s="10" t="n">
        <v>17.5610335048113</v>
      </c>
      <c r="K46" s="10"/>
      <c r="L46" s="10" t="n">
        <v>100</v>
      </c>
      <c r="M46" s="10"/>
      <c r="N46" s="10"/>
      <c r="O46" s="10"/>
      <c r="P46" s="10"/>
      <c r="Q46" s="10"/>
      <c r="R46" s="10"/>
      <c r="S46" s="10" t="n">
        <v>48.2130807549011</v>
      </c>
      <c r="T46" s="10" t="n">
        <v>10.4292397668346</v>
      </c>
      <c r="U46" s="10" t="n">
        <v>12.3106339040082</v>
      </c>
      <c r="V46" s="10"/>
      <c r="W46" s="10" t="n">
        <v>-0.610727179107481</v>
      </c>
      <c r="X46" s="10"/>
      <c r="Y46" s="10"/>
      <c r="Z46" s="10"/>
      <c r="AA46" s="10"/>
      <c r="AB46" s="10"/>
      <c r="AC46" s="10" t="n">
        <v>370.506418676429</v>
      </c>
      <c r="AD46" s="10"/>
      <c r="AE46" s="10" t="n">
        <v>463.133023345537</v>
      </c>
      <c r="AF46" s="10" t="n">
        <v>-593.472466463226</v>
      </c>
      <c r="AG46" s="10" t="n">
        <v>1.0707047521843</v>
      </c>
      <c r="AH46" s="10" t="n">
        <v>10707.047521843</v>
      </c>
      <c r="AI46" s="10"/>
      <c r="AJ46" s="10"/>
      <c r="AK46" s="10"/>
      <c r="AL46" s="10"/>
      <c r="AM46" s="10"/>
      <c r="AN46" s="10"/>
      <c r="AO46" s="10"/>
      <c r="AP46" s="10"/>
      <c r="AQ46" s="10"/>
      <c r="AR46" s="10" t="n">
        <v>52.0199995736942</v>
      </c>
      <c r="AS46" s="10" t="n">
        <v>10.43044942504</v>
      </c>
      <c r="AT46" s="10" t="n">
        <v>8.90298007200186</v>
      </c>
      <c r="AU46" s="10" t="n">
        <v>0.1</v>
      </c>
      <c r="AV46" s="10" t="n">
        <v>0.767</v>
      </c>
      <c r="AW46" s="10" t="n">
        <v>61.739716</v>
      </c>
      <c r="AX46" s="10" t="n">
        <v>6.4735045</v>
      </c>
      <c r="AY46" s="10" t="n">
        <v>50</v>
      </c>
      <c r="AZ46" s="10" t="n">
        <v>6.34115464100655</v>
      </c>
      <c r="BA46" s="10" t="n">
        <v>50</v>
      </c>
      <c r="BB46" s="10"/>
      <c r="BC46" s="10" t="s">
        <v>114</v>
      </c>
      <c r="BD46" s="10" t="s">
        <v>157</v>
      </c>
      <c r="BE46" s="10"/>
      <c r="BF46" s="10"/>
      <c r="BG46" s="10" t="s">
        <v>184</v>
      </c>
      <c r="BH46" s="10" t="s">
        <v>117</v>
      </c>
      <c r="BQ46" s="5" t="n">
        <v>6.34115464100655</v>
      </c>
      <c r="BT46" s="5" t="n">
        <v>6.34115464100655</v>
      </c>
    </row>
    <row r="47" customFormat="false" ht="15" hidden="true" customHeight="true" outlineLevel="0" collapsed="false">
      <c r="A47" s="10" t="n">
        <v>46</v>
      </c>
      <c r="B47" s="10" t="s">
        <v>537</v>
      </c>
      <c r="C47" s="10" t="s">
        <v>538</v>
      </c>
      <c r="D47" s="10" t="s">
        <v>147</v>
      </c>
      <c r="E47" s="10" t="s">
        <v>173</v>
      </c>
      <c r="F47" s="10" t="n">
        <v>131477848064</v>
      </c>
      <c r="G47" s="10"/>
      <c r="H47" s="10"/>
      <c r="I47" s="10" t="n">
        <v>85.5</v>
      </c>
      <c r="J47" s="10" t="n">
        <v>41.9718757900059</v>
      </c>
      <c r="K47" s="10"/>
      <c r="L47" s="10" t="n">
        <v>100</v>
      </c>
      <c r="M47" s="10"/>
      <c r="N47" s="10"/>
      <c r="O47" s="10"/>
      <c r="P47" s="10"/>
      <c r="Q47" s="10"/>
      <c r="R47" s="10"/>
      <c r="S47" s="10" t="n">
        <v>41.4415734876165</v>
      </c>
      <c r="T47" s="10" t="n">
        <v>21.7141969730283</v>
      </c>
      <c r="U47" s="10" t="n">
        <v>33.1299784936568</v>
      </c>
      <c r="V47" s="10"/>
      <c r="W47" s="10" t="n">
        <v>0.517091822077112</v>
      </c>
      <c r="X47" s="10"/>
      <c r="Y47" s="10"/>
      <c r="Z47" s="10"/>
      <c r="AA47" s="10"/>
      <c r="AB47" s="10"/>
      <c r="AC47" s="10" t="n">
        <v>280.161417007797</v>
      </c>
      <c r="AD47" s="10"/>
      <c r="AE47" s="10" t="n">
        <v>350.201771259747</v>
      </c>
      <c r="AF47" s="10" t="n">
        <v>-388.232824708311</v>
      </c>
      <c r="AG47" s="10" t="n">
        <v>3.83856851484306</v>
      </c>
      <c r="AH47" s="10" t="n">
        <v>38385.6851484306</v>
      </c>
      <c r="AI47" s="10"/>
      <c r="AJ47" s="10"/>
      <c r="AK47" s="10"/>
      <c r="AL47" s="10"/>
      <c r="AM47" s="10"/>
      <c r="AN47" s="10"/>
      <c r="AO47" s="10"/>
      <c r="AP47" s="10"/>
      <c r="AQ47" s="10"/>
      <c r="AR47" s="10" t="n">
        <v>27.2700002437043</v>
      </c>
      <c r="AS47" s="10" t="n">
        <v>25</v>
      </c>
      <c r="AT47" s="10" t="n">
        <v>12.8420158144388</v>
      </c>
      <c r="AU47" s="10"/>
      <c r="AV47" s="10"/>
      <c r="AW47" s="10" t="n">
        <v>62.698936</v>
      </c>
      <c r="AX47" s="10" t="n">
        <v>14.14882</v>
      </c>
      <c r="AY47" s="10" t="n">
        <v>75</v>
      </c>
      <c r="AZ47" s="10" t="n">
        <v>1.82017359062948</v>
      </c>
      <c r="BA47" s="10" t="n">
        <v>75</v>
      </c>
      <c r="BB47" s="10"/>
      <c r="BC47" s="10" t="s">
        <v>114</v>
      </c>
      <c r="BD47" s="10" t="s">
        <v>115</v>
      </c>
      <c r="BE47" s="10"/>
      <c r="BF47" s="10"/>
      <c r="BG47" s="10" t="s">
        <v>184</v>
      </c>
      <c r="BH47" s="10" t="s">
        <v>117</v>
      </c>
      <c r="BQ47" s="5" t="n">
        <v>1.82017359062948</v>
      </c>
      <c r="BT47" s="5" t="n">
        <v>1.82017359062948</v>
      </c>
    </row>
    <row r="48" customFormat="false" ht="15" hidden="true" customHeight="true" outlineLevel="0" collapsed="false">
      <c r="A48" s="10" t="n">
        <v>47</v>
      </c>
      <c r="B48" s="10" t="s">
        <v>539</v>
      </c>
      <c r="C48" s="10" t="s">
        <v>540</v>
      </c>
      <c r="D48" s="10" t="s">
        <v>132</v>
      </c>
      <c r="E48" s="10" t="s">
        <v>133</v>
      </c>
      <c r="F48" s="10" t="n">
        <v>122639581184</v>
      </c>
      <c r="G48" s="10"/>
      <c r="H48" s="10"/>
      <c r="I48" s="10" t="n">
        <v>36</v>
      </c>
      <c r="J48" s="10" t="n">
        <v>16.472074714418</v>
      </c>
      <c r="K48" s="10"/>
      <c r="L48" s="10" t="n">
        <v>100</v>
      </c>
      <c r="M48" s="10"/>
      <c r="N48" s="10"/>
      <c r="O48" s="10"/>
      <c r="P48" s="10"/>
      <c r="Q48" s="10"/>
      <c r="R48" s="10"/>
      <c r="S48" s="10" t="n">
        <v>34.2694140200043</v>
      </c>
      <c r="T48" s="10" t="n">
        <v>9.39062982401976</v>
      </c>
      <c r="U48" s="10" t="n">
        <v>13.1553253661353</v>
      </c>
      <c r="V48" s="10"/>
      <c r="W48" s="10" t="n">
        <v>-0.220841231520355</v>
      </c>
      <c r="X48" s="10"/>
      <c r="Y48" s="10"/>
      <c r="Z48" s="10"/>
      <c r="AA48" s="10"/>
      <c r="AB48" s="10"/>
      <c r="AC48" s="10" t="n">
        <v>87.0295913606649</v>
      </c>
      <c r="AD48" s="10"/>
      <c r="AE48" s="10" t="n">
        <v>108.786989200831</v>
      </c>
      <c r="AF48" s="10" t="n">
        <v>-476.401649320772</v>
      </c>
      <c r="AG48" s="10" t="n">
        <v>1.00431040520652</v>
      </c>
      <c r="AH48" s="10" t="n">
        <v>10043.1040520652</v>
      </c>
      <c r="AI48" s="10"/>
      <c r="AJ48" s="10"/>
      <c r="AK48" s="10"/>
      <c r="AL48" s="10"/>
      <c r="AM48" s="10"/>
      <c r="AN48" s="10"/>
      <c r="AO48" s="10"/>
      <c r="AP48" s="10"/>
      <c r="AQ48" s="10"/>
      <c r="AR48" s="10" t="n">
        <v>12.4399996428993</v>
      </c>
      <c r="AS48" s="10" t="n">
        <v>9.4271556</v>
      </c>
      <c r="AT48" s="10" t="n">
        <v>8.74493482321793</v>
      </c>
      <c r="AU48" s="10" t="n">
        <v>0.08</v>
      </c>
      <c r="AV48" s="10" t="n">
        <v>0.201</v>
      </c>
      <c r="AW48" s="10" t="n">
        <v>50.40595</v>
      </c>
      <c r="AX48" s="10" t="n">
        <v>4.7339892</v>
      </c>
      <c r="AY48" s="10" t="n">
        <v>50</v>
      </c>
      <c r="AZ48" s="10" t="n">
        <v>8.48847380878872</v>
      </c>
      <c r="BA48" s="10" t="n">
        <v>50</v>
      </c>
      <c r="BB48" s="10"/>
      <c r="BC48" s="10" t="s">
        <v>114</v>
      </c>
      <c r="BD48" s="10" t="s">
        <v>157</v>
      </c>
      <c r="BE48" s="10"/>
      <c r="BF48" s="10"/>
      <c r="BG48" s="10" t="s">
        <v>184</v>
      </c>
      <c r="BH48" s="10" t="s">
        <v>117</v>
      </c>
      <c r="BQ48" s="5" t="n">
        <v>8.48847380878872</v>
      </c>
      <c r="BT48" s="5" t="n">
        <v>8.48847380878872</v>
      </c>
    </row>
    <row r="49" customFormat="false" ht="15" hidden="true" customHeight="true" outlineLevel="0" collapsed="false">
      <c r="A49" s="10" t="n">
        <v>48</v>
      </c>
      <c r="B49" s="10" t="s">
        <v>541</v>
      </c>
      <c r="C49" s="10" t="s">
        <v>542</v>
      </c>
      <c r="D49" s="10" t="s">
        <v>454</v>
      </c>
      <c r="E49" s="10" t="s">
        <v>517</v>
      </c>
      <c r="F49" s="10" t="n">
        <v>75173560320</v>
      </c>
      <c r="G49" s="10"/>
      <c r="H49" s="10"/>
      <c r="I49" s="10" t="n">
        <v>20.5</v>
      </c>
      <c r="J49" s="10" t="n">
        <v>10.0383697016233</v>
      </c>
      <c r="K49" s="10"/>
      <c r="L49" s="10" t="n">
        <v>100</v>
      </c>
      <c r="M49" s="10"/>
      <c r="N49" s="10"/>
      <c r="O49" s="10"/>
      <c r="P49" s="10"/>
      <c r="Q49" s="10"/>
      <c r="R49" s="10"/>
      <c r="S49" s="10" t="n">
        <v>37.0812088748404</v>
      </c>
      <c r="T49" s="10" t="n">
        <v>7.77052744996233</v>
      </c>
      <c r="U49" s="10" t="n">
        <v>8.93202948501711</v>
      </c>
      <c r="V49" s="10"/>
      <c r="W49" s="10" t="n">
        <v>-4.59069164163416</v>
      </c>
      <c r="X49" s="10"/>
      <c r="Y49" s="10"/>
      <c r="Z49" s="10"/>
      <c r="AA49" s="10"/>
      <c r="AB49" s="10"/>
      <c r="AC49" s="10" t="n">
        <v>467.036412564165</v>
      </c>
      <c r="AD49" s="10"/>
      <c r="AE49" s="10" t="n">
        <v>583.795515705206</v>
      </c>
      <c r="AF49" s="10" t="n">
        <v>-297.416550416184</v>
      </c>
      <c r="AG49" s="10" t="n">
        <v>0.612044282061547</v>
      </c>
      <c r="AH49" s="10" t="n">
        <v>6120.44282061547</v>
      </c>
      <c r="AI49" s="10"/>
      <c r="AJ49" s="10"/>
      <c r="AK49" s="10"/>
      <c r="AL49" s="10"/>
      <c r="AM49" s="10"/>
      <c r="AN49" s="10"/>
      <c r="AO49" s="10"/>
      <c r="AP49" s="10"/>
      <c r="AQ49" s="10"/>
      <c r="AR49" s="10" t="n">
        <v>55.5499954747859</v>
      </c>
      <c r="AS49" s="10" t="n">
        <v>6.3833084</v>
      </c>
      <c r="AT49" s="10" t="n">
        <v>10.5093702197157</v>
      </c>
      <c r="AU49" s="10" t="n">
        <v>0.5</v>
      </c>
      <c r="AV49" s="10" t="n">
        <v>0.764</v>
      </c>
      <c r="AW49" s="10" t="n">
        <v>41.76598</v>
      </c>
      <c r="AX49" s="10" t="n">
        <v>3.8034554</v>
      </c>
      <c r="AY49" s="10" t="n">
        <v>50</v>
      </c>
      <c r="AZ49" s="10" t="n">
        <v>2.06468583782106</v>
      </c>
      <c r="BA49" s="10" t="n">
        <v>50</v>
      </c>
      <c r="BB49" s="10"/>
      <c r="BC49" s="10" t="s">
        <v>114</v>
      </c>
      <c r="BD49" s="10" t="s">
        <v>157</v>
      </c>
      <c r="BE49" s="10"/>
      <c r="BF49" s="10"/>
      <c r="BG49" s="10" t="s">
        <v>116</v>
      </c>
      <c r="BH49" s="10" t="s">
        <v>117</v>
      </c>
      <c r="BQ49" s="5" t="n">
        <v>2.06468583782106</v>
      </c>
      <c r="BT49" s="5" t="n">
        <v>2.06468583782106</v>
      </c>
    </row>
    <row r="50" customFormat="false" ht="15" hidden="true" customHeight="true" outlineLevel="0" collapsed="false">
      <c r="A50" s="10" t="n">
        <v>49</v>
      </c>
      <c r="B50" s="10" t="s">
        <v>543</v>
      </c>
      <c r="C50" s="10" t="s">
        <v>544</v>
      </c>
      <c r="D50" s="10" t="s">
        <v>96</v>
      </c>
      <c r="E50" s="10" t="s">
        <v>303</v>
      </c>
      <c r="F50" s="10" t="n">
        <v>172049842176</v>
      </c>
      <c r="G50" s="10"/>
      <c r="H50" s="10"/>
      <c r="I50" s="10" t="n">
        <v>46</v>
      </c>
      <c r="J50" s="10" t="n">
        <v>21.3223051744934</v>
      </c>
      <c r="K50" s="10"/>
      <c r="L50" s="10" t="n">
        <v>100</v>
      </c>
      <c r="M50" s="10"/>
      <c r="N50" s="10"/>
      <c r="O50" s="10"/>
      <c r="P50" s="10"/>
      <c r="Q50" s="10"/>
      <c r="R50" s="10"/>
      <c r="S50" s="10" t="n">
        <v>59.7126623423732</v>
      </c>
      <c r="T50" s="10" t="n">
        <v>14.6793722546181</v>
      </c>
      <c r="U50" s="10" t="n">
        <v>19.7337102705853</v>
      </c>
      <c r="V50" s="10"/>
      <c r="W50" s="10" t="n">
        <v>1.75593213826333</v>
      </c>
      <c r="X50" s="10"/>
      <c r="Y50" s="10"/>
      <c r="Z50" s="10"/>
      <c r="AA50" s="10"/>
      <c r="AB50" s="10"/>
      <c r="AC50" s="10" t="n">
        <v>583.927385142696</v>
      </c>
      <c r="AD50" s="10"/>
      <c r="AE50" s="10" t="n">
        <v>729.909231428369</v>
      </c>
      <c r="AF50" s="10" t="n">
        <v>-148.263745952887</v>
      </c>
      <c r="AG50" s="10" t="n">
        <v>2.60006262975344</v>
      </c>
      <c r="AH50" s="10" t="n">
        <v>26000.6262975344</v>
      </c>
      <c r="AI50" s="10"/>
      <c r="AJ50" s="10"/>
      <c r="AK50" s="10"/>
      <c r="AL50" s="10"/>
      <c r="AM50" s="10"/>
      <c r="AN50" s="10"/>
      <c r="AO50" s="10"/>
      <c r="AP50" s="10"/>
      <c r="AQ50" s="10"/>
      <c r="AR50" s="10" t="n">
        <v>20.5300016897797</v>
      </c>
      <c r="AS50" s="10" t="n">
        <v>14.258650936024</v>
      </c>
      <c r="AT50" s="10" t="n">
        <v>35.5532991440998</v>
      </c>
      <c r="AU50" s="10" t="n">
        <v>0.12</v>
      </c>
      <c r="AV50" s="10" t="n">
        <v>0.504</v>
      </c>
      <c r="AW50" s="10" t="n">
        <v>88.265945</v>
      </c>
      <c r="AX50" s="10" t="n">
        <v>13.090276</v>
      </c>
      <c r="AY50" s="10" t="n">
        <v>100</v>
      </c>
      <c r="AZ50" s="10" t="n">
        <v>7.29432532828956</v>
      </c>
      <c r="BA50" s="10" t="n">
        <v>100</v>
      </c>
      <c r="BB50" s="10"/>
      <c r="BC50" s="10" t="s">
        <v>114</v>
      </c>
      <c r="BD50" s="10" t="s">
        <v>157</v>
      </c>
      <c r="BE50" s="10"/>
      <c r="BF50" s="10"/>
      <c r="BG50" s="10" t="s">
        <v>116</v>
      </c>
      <c r="BH50" s="10" t="s">
        <v>117</v>
      </c>
      <c r="BQ50" s="5" t="n">
        <v>7.29432532828956</v>
      </c>
      <c r="BT50" s="5" t="n">
        <v>7.29432532828956</v>
      </c>
    </row>
  </sheetData>
  <autoFilter ref="A1:BD50">
    <filterColumn colId="55">
      <filters>
        <filter val="Strong Buy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pane xSplit="0" ySplit="1" topLeftCell="A14" activePane="bottomLeft" state="frozen"/>
      <selection pane="topLeft" activeCell="U1" activeCellId="0" sqref="U1"/>
      <selection pane="bottomLeft" activeCell="X4" activeCellId="0" sqref="X4"/>
    </sheetView>
  </sheetViews>
  <sheetFormatPr defaultColWidth="8.71484375" defaultRowHeight="15" zeroHeight="false" outlineLevelRow="0" outlineLevelCol="0"/>
  <cols>
    <col collapsed="false" customWidth="true" hidden="false" outlineLevel="0" max="3" min="1" style="0" width="15"/>
    <col collapsed="false" customWidth="true" hidden="false" outlineLevel="0" max="4" min="4" style="0" width="19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9" min="7" style="0" width="15"/>
    <col collapsed="false" customWidth="true" hidden="false" outlineLevel="0" max="10" min="10" style="0" width="22"/>
    <col collapsed="false" customWidth="true" hidden="false" outlineLevel="0" max="11" min="11" style="0" width="17"/>
    <col collapsed="false" customWidth="true" hidden="false" outlineLevel="0" max="16" min="12" style="0" width="15"/>
    <col collapsed="false" customWidth="true" hidden="false" outlineLevel="0" max="17" min="17" style="0" width="20"/>
    <col collapsed="false" customWidth="true" hidden="false" outlineLevel="0" max="18" min="18" style="0" width="16"/>
    <col collapsed="false" customWidth="true" hidden="false" outlineLevel="0" max="23" min="19" style="0" width="15"/>
    <col collapsed="false" customWidth="true" hidden="false" outlineLevel="0" max="24" min="24" style="0" width="19"/>
    <col collapsed="false" customWidth="true" hidden="false" outlineLevel="0" max="25" min="25" style="0" width="32.71"/>
  </cols>
  <sheetData>
    <row r="1" customFormat="false" ht="15" hidden="false" customHeight="true" outlineLevel="0" collapsed="false">
      <c r="A1" s="1" t="s">
        <v>25</v>
      </c>
      <c r="B1" s="1" t="s">
        <v>545</v>
      </c>
      <c r="C1" s="1" t="s">
        <v>546</v>
      </c>
      <c r="D1" s="1" t="s">
        <v>47</v>
      </c>
      <c r="E1" s="1" t="s">
        <v>547</v>
      </c>
      <c r="F1" s="1" t="s">
        <v>548</v>
      </c>
      <c r="G1" s="1" t="s">
        <v>549</v>
      </c>
      <c r="H1" s="1" t="s">
        <v>550</v>
      </c>
      <c r="I1" s="1" t="s">
        <v>48</v>
      </c>
      <c r="J1" s="1" t="s">
        <v>551</v>
      </c>
      <c r="K1" s="1" t="s">
        <v>552</v>
      </c>
      <c r="L1" s="1" t="s">
        <v>46</v>
      </c>
      <c r="M1" s="1" t="s">
        <v>43</v>
      </c>
      <c r="N1" s="1" t="s">
        <v>44</v>
      </c>
      <c r="O1" s="1" t="s">
        <v>553</v>
      </c>
      <c r="P1" s="1" t="s">
        <v>45</v>
      </c>
      <c r="Q1" s="1" t="s">
        <v>554</v>
      </c>
      <c r="R1" s="1" t="s">
        <v>555</v>
      </c>
      <c r="S1" s="1" t="s">
        <v>72</v>
      </c>
      <c r="T1" s="1" t="s">
        <v>40</v>
      </c>
      <c r="U1" s="1" t="s">
        <v>41</v>
      </c>
      <c r="V1" s="1" t="s">
        <v>42</v>
      </c>
      <c r="W1" s="1" t="s">
        <v>73</v>
      </c>
      <c r="X1" s="1" t="s">
        <v>556</v>
      </c>
      <c r="Y1" s="1" t="s">
        <v>557</v>
      </c>
    </row>
    <row r="2" customFormat="false" ht="15" hidden="false" customHeight="true" outlineLevel="0" collapsed="false">
      <c r="A2" s="0" t="s">
        <v>130</v>
      </c>
      <c r="B2" s="0" t="s">
        <v>558</v>
      </c>
      <c r="D2" s="0" t="n">
        <v>23</v>
      </c>
      <c r="M2" s="0" t="n">
        <v>29.1</v>
      </c>
      <c r="N2" s="0" t="n">
        <v>28.4</v>
      </c>
      <c r="X2" s="0" t="s">
        <v>559</v>
      </c>
      <c r="Y2" s="0" t="s">
        <v>560</v>
      </c>
    </row>
    <row r="3" customFormat="false" ht="15" hidden="false" customHeight="true" outlineLevel="0" collapsed="false">
      <c r="A3" s="0" t="s">
        <v>185</v>
      </c>
      <c r="B3" s="0" t="s">
        <v>561</v>
      </c>
      <c r="C3" s="0" t="n">
        <v>11602</v>
      </c>
      <c r="D3" s="0" t="n">
        <v>13</v>
      </c>
      <c r="G3" s="0" t="n">
        <v>2242</v>
      </c>
      <c r="M3" s="0" t="n">
        <v>28.2</v>
      </c>
      <c r="N3" s="0" t="n">
        <v>36.3</v>
      </c>
      <c r="P3" s="0" t="n">
        <v>0.003</v>
      </c>
      <c r="S3" s="0" t="n">
        <v>64.3</v>
      </c>
      <c r="X3" s="0" t="n">
        <v>0.95</v>
      </c>
      <c r="Y3" s="0" t="s">
        <v>562</v>
      </c>
    </row>
    <row r="4" customFormat="false" ht="15" hidden="false" customHeight="true" outlineLevel="0" collapsed="false">
      <c r="A4" s="0" t="s">
        <v>236</v>
      </c>
      <c r="B4" s="0" t="s">
        <v>558</v>
      </c>
      <c r="G4" s="0" t="n">
        <v>80032</v>
      </c>
      <c r="M4" s="0" t="n">
        <v>18.57</v>
      </c>
      <c r="O4" s="0" t="n">
        <v>1.12</v>
      </c>
      <c r="S4" s="0" t="n">
        <v>11.6</v>
      </c>
      <c r="Y4" s="0" t="s">
        <v>563</v>
      </c>
    </row>
    <row r="5" customFormat="false" ht="15" hidden="false" customHeight="true" outlineLevel="0" collapsed="false">
      <c r="A5" s="0" t="s">
        <v>261</v>
      </c>
      <c r="B5" s="0" t="s">
        <v>561</v>
      </c>
      <c r="C5" s="0" t="n">
        <v>56815</v>
      </c>
      <c r="G5" s="0" t="n">
        <v>4806</v>
      </c>
      <c r="M5" s="0" t="n">
        <v>13.3</v>
      </c>
      <c r="S5" s="0" t="n">
        <v>25.3</v>
      </c>
      <c r="X5" s="0" t="n">
        <v>3.62</v>
      </c>
      <c r="Y5" s="0" t="s">
        <v>564</v>
      </c>
    </row>
    <row r="6" customFormat="false" ht="15" hidden="false" customHeight="true" outlineLevel="0" collapsed="false">
      <c r="A6" s="0" t="s">
        <v>271</v>
      </c>
      <c r="B6" s="0" t="s">
        <v>561</v>
      </c>
      <c r="G6" s="0" t="n">
        <v>19147</v>
      </c>
      <c r="M6" s="0" t="n">
        <v>14.7</v>
      </c>
      <c r="N6" s="0" t="n">
        <v>17.85</v>
      </c>
      <c r="P6" s="0" t="n">
        <v>1.12</v>
      </c>
      <c r="S6" s="0" t="n">
        <v>33.8</v>
      </c>
      <c r="Y6" s="0" t="s">
        <v>565</v>
      </c>
    </row>
    <row r="7" customFormat="false" ht="15" hidden="false" customHeight="true" outlineLevel="0" collapsed="false">
      <c r="A7" s="0" t="s">
        <v>301</v>
      </c>
      <c r="B7" s="0" t="s">
        <v>558</v>
      </c>
      <c r="C7" s="0" t="n">
        <v>1103</v>
      </c>
      <c r="D7" s="0" t="n">
        <v>-88</v>
      </c>
      <c r="G7" s="0" t="n">
        <v>-909</v>
      </c>
      <c r="M7" s="0" t="n">
        <v>-4.01</v>
      </c>
      <c r="N7" s="0" t="n">
        <v>-4.83</v>
      </c>
      <c r="Y7" s="0" t="s">
        <v>566</v>
      </c>
    </row>
    <row r="8" customFormat="false" ht="15" hidden="false" customHeight="true" outlineLevel="0" collapsed="false">
      <c r="A8" s="0" t="s">
        <v>315</v>
      </c>
      <c r="B8" s="0" t="s">
        <v>558</v>
      </c>
      <c r="C8" s="0" t="n">
        <v>2022.96</v>
      </c>
      <c r="D8" s="0" t="n">
        <v>43.97</v>
      </c>
      <c r="G8" s="0" t="n">
        <v>498.92</v>
      </c>
      <c r="M8" s="0" t="n">
        <v>8.4</v>
      </c>
      <c r="N8" s="0" t="n">
        <v>8.4</v>
      </c>
      <c r="P8" s="0" t="n">
        <v>0.65</v>
      </c>
      <c r="S8" s="0" t="n">
        <v>26</v>
      </c>
      <c r="Y8" s="0" t="s">
        <v>567</v>
      </c>
    </row>
    <row r="9" customFormat="false" ht="15" hidden="false" customHeight="true" outlineLevel="0" collapsed="false">
      <c r="A9" s="0" t="s">
        <v>327</v>
      </c>
      <c r="B9" s="0" t="s">
        <v>561</v>
      </c>
      <c r="C9" s="0" t="n">
        <v>703</v>
      </c>
      <c r="M9" s="0" t="n">
        <v>5.72</v>
      </c>
      <c r="S9" s="0" t="n">
        <v>33</v>
      </c>
      <c r="Y9" s="0" t="s">
        <v>568</v>
      </c>
    </row>
    <row r="10" customFormat="false" ht="15" hidden="false" customHeight="true" outlineLevel="0" collapsed="false">
      <c r="A10" s="0" t="s">
        <v>569</v>
      </c>
      <c r="B10" s="0" t="s">
        <v>570</v>
      </c>
      <c r="D10" s="0" t="n">
        <v>-43.1</v>
      </c>
      <c r="G10" s="0" t="n">
        <v>41.55</v>
      </c>
      <c r="S10" s="0" t="n">
        <v>62.7</v>
      </c>
      <c r="Y10" s="0" t="s">
        <v>571</v>
      </c>
    </row>
    <row r="11" customFormat="false" ht="15" hidden="false" customHeight="true" outlineLevel="0" collapsed="false">
      <c r="A11" s="0" t="s">
        <v>349</v>
      </c>
      <c r="B11" s="0" t="s">
        <v>558</v>
      </c>
      <c r="C11" s="0" t="n">
        <v>115444</v>
      </c>
      <c r="G11" s="0" t="n">
        <v>33625</v>
      </c>
      <c r="M11" s="0" t="n">
        <v>19.49</v>
      </c>
      <c r="S11" s="0" t="n">
        <v>6.5</v>
      </c>
      <c r="X11" s="0" t="n">
        <v>5.16</v>
      </c>
      <c r="Y11" s="0" t="s">
        <v>572</v>
      </c>
    </row>
    <row r="12" customFormat="false" ht="15" hidden="false" customHeight="true" outlineLevel="0" collapsed="false">
      <c r="A12" s="0" t="s">
        <v>363</v>
      </c>
      <c r="B12" s="0" t="s">
        <v>558</v>
      </c>
      <c r="C12" s="0" t="n">
        <v>78213.28</v>
      </c>
      <c r="G12" s="0" t="n">
        <v>20689.47</v>
      </c>
      <c r="M12" s="0" t="n">
        <v>35.2</v>
      </c>
      <c r="S12" s="0" t="n">
        <v>17.6</v>
      </c>
      <c r="X12" s="0" t="n">
        <v>5</v>
      </c>
      <c r="Y12" s="0" t="s">
        <v>573</v>
      </c>
    </row>
    <row r="13" customFormat="false" ht="15" hidden="false" customHeight="true" outlineLevel="0" collapsed="false">
      <c r="A13" s="0" t="s">
        <v>375</v>
      </c>
      <c r="B13" s="0" t="s">
        <v>561</v>
      </c>
      <c r="C13" s="0" t="n">
        <v>23408</v>
      </c>
      <c r="G13" s="0" t="n">
        <v>5515</v>
      </c>
      <c r="M13" s="0" t="n">
        <v>24</v>
      </c>
      <c r="S13" s="0" t="n">
        <v>38</v>
      </c>
      <c r="X13" s="0" t="n">
        <v>0.99</v>
      </c>
      <c r="Y13" s="0" t="s">
        <v>574</v>
      </c>
    </row>
    <row r="14" customFormat="false" ht="15" hidden="false" customHeight="true" outlineLevel="0" collapsed="false">
      <c r="A14" s="0" t="s">
        <v>386</v>
      </c>
      <c r="B14" s="0" t="s">
        <v>558</v>
      </c>
      <c r="C14" s="0" t="n">
        <v>6062.5</v>
      </c>
      <c r="G14" s="0" t="n">
        <v>777.6</v>
      </c>
      <c r="M14" s="0" t="n">
        <v>10.7</v>
      </c>
      <c r="O14" s="0" t="n">
        <v>2.7</v>
      </c>
      <c r="S14" s="0" t="n">
        <v>41.9</v>
      </c>
      <c r="Y14" s="0" t="s">
        <v>575</v>
      </c>
    </row>
    <row r="15" customFormat="false" ht="15" hidden="false" customHeight="true" outlineLevel="0" collapsed="false">
      <c r="A15" s="0" t="s">
        <v>397</v>
      </c>
      <c r="B15" s="0" t="s">
        <v>558</v>
      </c>
      <c r="C15" s="0" t="n">
        <v>130772</v>
      </c>
      <c r="G15" s="0" t="n">
        <v>18467</v>
      </c>
      <c r="M15" s="0" t="n">
        <v>14.9</v>
      </c>
      <c r="O15" s="0" t="n">
        <v>0.9</v>
      </c>
      <c r="S15" s="0" t="n">
        <v>7.3</v>
      </c>
      <c r="Y15" s="0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21"/>
    <col collapsed="false" customWidth="true" hidden="false" outlineLevel="0" max="6" min="6" style="0" width="22"/>
    <col collapsed="false" customWidth="true" hidden="false" outlineLevel="0" max="7" min="7" style="0" width="25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1" min="10" style="0" width="15"/>
    <col collapsed="false" customWidth="true" hidden="false" outlineLevel="0" max="12" min="12" style="0" width="18"/>
  </cols>
  <sheetData>
    <row r="1" customFormat="false" ht="15" hidden="false" customHeight="true" outlineLevel="0" collapsed="false">
      <c r="A1" s="1" t="s">
        <v>25</v>
      </c>
      <c r="B1" s="1" t="s">
        <v>577</v>
      </c>
      <c r="C1" s="1" t="s">
        <v>578</v>
      </c>
      <c r="D1" s="1" t="s">
        <v>62</v>
      </c>
      <c r="E1" s="1" t="s">
        <v>579</v>
      </c>
      <c r="F1" s="1" t="s">
        <v>580</v>
      </c>
      <c r="G1" s="1" t="s">
        <v>581</v>
      </c>
      <c r="H1" s="1" t="s">
        <v>63</v>
      </c>
      <c r="I1" s="1" t="s">
        <v>582</v>
      </c>
      <c r="J1" s="1" t="s">
        <v>583</v>
      </c>
      <c r="K1" s="1" t="s">
        <v>584</v>
      </c>
      <c r="L1" s="1" t="s">
        <v>585</v>
      </c>
    </row>
    <row r="2" customFormat="false" ht="15" hidden="false" customHeight="true" outlineLevel="0" collapsed="false">
      <c r="A2" s="0" t="s">
        <v>586</v>
      </c>
      <c r="B2" s="0" t="s">
        <v>104</v>
      </c>
      <c r="C2" s="0" t="s">
        <v>587</v>
      </c>
      <c r="D2" s="0" t="s">
        <v>588</v>
      </c>
      <c r="E2" s="0" t="s">
        <v>589</v>
      </c>
      <c r="F2" s="0" t="s">
        <v>590</v>
      </c>
      <c r="G2" s="0" t="s">
        <v>591</v>
      </c>
      <c r="H2" s="0" t="s">
        <v>592</v>
      </c>
      <c r="I2" s="0" t="s">
        <v>593</v>
      </c>
      <c r="J2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7148437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6" min="6" style="0" width="20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0" min="10" style="0" width="15"/>
    <col collapsed="false" customWidth="true" hidden="false" outlineLevel="0" max="12" min="11" style="0" width="22"/>
    <col collapsed="false" customWidth="true" hidden="false" outlineLevel="0" max="13" min="13" style="0" width="21"/>
    <col collapsed="false" customWidth="true" hidden="false" outlineLevel="0" max="14" min="14" style="0" width="15"/>
  </cols>
  <sheetData>
    <row r="1" customFormat="false" ht="15" hidden="false" customHeight="true" outlineLevel="0" collapsed="false">
      <c r="A1" s="1" t="s">
        <v>25</v>
      </c>
      <c r="B1" s="1" t="s">
        <v>26</v>
      </c>
      <c r="C1" s="1" t="s">
        <v>594</v>
      </c>
      <c r="D1" s="1" t="s">
        <v>52</v>
      </c>
      <c r="E1" s="1" t="s">
        <v>595</v>
      </c>
      <c r="F1" s="1" t="s">
        <v>596</v>
      </c>
      <c r="G1" s="1" t="s">
        <v>53</v>
      </c>
      <c r="H1" s="1" t="s">
        <v>597</v>
      </c>
      <c r="I1" s="1" t="s">
        <v>598</v>
      </c>
      <c r="J1" s="1" t="s">
        <v>599</v>
      </c>
      <c r="K1" s="1" t="s">
        <v>56</v>
      </c>
      <c r="L1" s="1" t="s">
        <v>600</v>
      </c>
      <c r="M1" s="1" t="s">
        <v>601</v>
      </c>
      <c r="N1" s="1" t="s">
        <v>58</v>
      </c>
    </row>
    <row r="2" customFormat="false" ht="15" hidden="false" customHeight="true" outlineLevel="0" collapsed="false">
      <c r="A2" s="0" t="s">
        <v>602</v>
      </c>
      <c r="B2" s="0" t="s">
        <v>586</v>
      </c>
      <c r="D2" s="16"/>
      <c r="F2" s="17"/>
      <c r="G2" s="18" t="str">
        <f aca="false">IF(B2="","",IFERROR(VLOOKUP(B2&amp;"*",'Master Universe'!$C:$AD,33,FALSE()),""))</f>
        <v/>
      </c>
      <c r="H2" s="19" t="str">
        <f aca="false">IF(OR(E2="",G2=""),"",ROUND(E2*G2,0))</f>
        <v/>
      </c>
      <c r="I2" s="19" t="str">
        <f aca="false">IF(OR(H2="",F2=""),"",H2-F2)</f>
        <v/>
      </c>
      <c r="J2" s="20" t="str">
        <f aca="false">IF(OR(I2="",F2="",F2=0),"",ROUND(I2/F2*100,1))</f>
        <v/>
      </c>
      <c r="K2" s="21" t="s">
        <v>12</v>
      </c>
      <c r="L2" s="20" t="str">
        <f aca="false">IF(H2="","",ROUND(H2/SUM($H$2:$H$15)*100,1))</f>
        <v/>
      </c>
      <c r="M2" s="2" t="str">
        <f aca="false">IF(OR(L2="",K2=""),"",IF(ABS(L2-VALUE(SUBSTITUTE(K2,"%","")))&gt;5,"Yes","No"))</f>
        <v/>
      </c>
      <c r="N2" s="21" t="s">
        <v>98</v>
      </c>
    </row>
    <row r="3" customFormat="false" ht="15" hidden="false" customHeight="true" outlineLevel="0" collapsed="false">
      <c r="A3" s="0" t="s">
        <v>118</v>
      </c>
      <c r="B3" s="0" t="s">
        <v>603</v>
      </c>
      <c r="D3" s="16"/>
      <c r="F3" s="17"/>
      <c r="G3" s="18" t="str">
        <f aca="false">IF(B3="","",IFERROR(VLOOKUP(B3&amp;"*",'Master Universe'!$C:$AD,33,FALSE()),""))</f>
        <v/>
      </c>
      <c r="H3" s="19" t="str">
        <f aca="false">IF(OR(E3="",G3=""),"",ROUND(E3*G3,0))</f>
        <v/>
      </c>
      <c r="I3" s="19" t="str">
        <f aca="false">IF(OR(H3="",F3=""),"",H3-F3)</f>
        <v/>
      </c>
      <c r="J3" s="20" t="str">
        <f aca="false">IF(OR(I3="",F3="",F3=0),"",ROUND(I3/F3*100,1))</f>
        <v/>
      </c>
      <c r="K3" s="21" t="s">
        <v>12</v>
      </c>
      <c r="L3" s="20" t="str">
        <f aca="false">IF(H3="","",ROUND(H3/SUM($H$2:$H$15)*100,1))</f>
        <v/>
      </c>
      <c r="M3" s="2" t="str">
        <f aca="false">IF(OR(L3="",K3=""),"",IF(ABS(L3-VALUE(SUBSTITUTE(K3,"%","")))&gt;5,"Yes","No"))</f>
        <v/>
      </c>
      <c r="N3" s="21" t="s">
        <v>98</v>
      </c>
    </row>
    <row r="4" customFormat="false" ht="15" hidden="false" customHeight="true" outlineLevel="0" collapsed="false">
      <c r="A4" s="0" t="s">
        <v>130</v>
      </c>
      <c r="B4" s="0" t="s">
        <v>604</v>
      </c>
      <c r="D4" s="16"/>
      <c r="F4" s="17"/>
      <c r="G4" s="18" t="str">
        <f aca="false">IF(B4="","",IFERROR(VLOOKUP(B4&amp;"*",'Master Universe'!$C:$AD,33,FALSE()),""))</f>
        <v/>
      </c>
      <c r="H4" s="19" t="str">
        <f aca="false">IF(OR(E4="",G4=""),"",ROUND(E4*G4,0))</f>
        <v/>
      </c>
      <c r="I4" s="19" t="str">
        <f aca="false">IF(OR(H4="",F4=""),"",H4-F4)</f>
        <v/>
      </c>
      <c r="J4" s="20" t="str">
        <f aca="false">IF(OR(I4="",F4="",F4=0),"",ROUND(I4/F4*100,1))</f>
        <v/>
      </c>
      <c r="K4" s="21" t="s">
        <v>12</v>
      </c>
      <c r="L4" s="20" t="str">
        <f aca="false">IF(H4="","",ROUND(H4/SUM($H$2:$H$15)*100,1))</f>
        <v/>
      </c>
      <c r="M4" s="2" t="str">
        <f aca="false">IF(OR(L4="",K4=""),"",IF(ABS(L4-VALUE(SUBSTITUTE(K4,"%","")))&gt;5,"Yes","No"))</f>
        <v/>
      </c>
      <c r="N4" s="21" t="s">
        <v>98</v>
      </c>
    </row>
    <row r="5" customFormat="false" ht="15" hidden="false" customHeight="true" outlineLevel="0" collapsed="false">
      <c r="A5" s="0" t="s">
        <v>145</v>
      </c>
      <c r="B5" s="0" t="s">
        <v>605</v>
      </c>
      <c r="D5" s="16"/>
      <c r="F5" s="17"/>
      <c r="G5" s="18" t="str">
        <f aca="false">IF(B5="","",IFERROR(VLOOKUP(B5&amp;"*",'Master Universe'!$C:$AD,33,FALSE()),""))</f>
        <v/>
      </c>
      <c r="H5" s="19" t="str">
        <f aca="false">IF(OR(E5="",G5=""),"",ROUND(E5*G5,0))</f>
        <v/>
      </c>
      <c r="I5" s="19" t="str">
        <f aca="false">IF(OR(H5="",F5=""),"",H5-F5)</f>
        <v/>
      </c>
      <c r="J5" s="20" t="str">
        <f aca="false">IF(OR(I5="",F5="",F5=0),"",ROUND(I5/F5*100,1))</f>
        <v/>
      </c>
      <c r="K5" s="21" t="s">
        <v>12</v>
      </c>
      <c r="L5" s="20" t="str">
        <f aca="false">IF(H5="","",ROUND(H5/SUM($H$2:$H$15)*100,1))</f>
        <v/>
      </c>
      <c r="M5" s="2" t="str">
        <f aca="false">IF(OR(L5="",K5=""),"",IF(ABS(L5-VALUE(SUBSTITUTE(K5,"%","")))&gt;5,"Yes","No"))</f>
        <v/>
      </c>
      <c r="N5" s="21" t="s">
        <v>98</v>
      </c>
    </row>
    <row r="6" customFormat="false" ht="15" hidden="false" customHeight="true" outlineLevel="0" collapsed="false">
      <c r="D6" s="16"/>
      <c r="F6" s="17"/>
      <c r="G6" s="18" t="str">
        <f aca="false">IF(B6="","",IFERROR(VLOOKUP(B6&amp;"*",'Master Universe'!$C:$AD,33,FALSE()),""))</f>
        <v/>
      </c>
      <c r="H6" s="19" t="str">
        <f aca="false">IF(OR(E6="",G6=""),"",ROUND(E6*G6,0))</f>
        <v/>
      </c>
      <c r="I6" s="19" t="str">
        <f aca="false">IF(OR(H6="",F6=""),"",H6-F6)</f>
        <v/>
      </c>
      <c r="J6" s="20" t="str">
        <f aca="false">IF(OR(I6="",F6="",F6=0),"",ROUND(I6/F6*100,1))</f>
        <v/>
      </c>
      <c r="L6" s="20" t="str">
        <f aca="false">IF(H6="","",ROUND(H6/SUM($H$2:$H$15)*100,1))</f>
        <v/>
      </c>
      <c r="M6" s="2" t="str">
        <f aca="false">IF(OR(L6="",K6=""),"",IF(ABS(L6-VALUE(SUBSTITUTE(K6,"%","")))&gt;5,"Yes","No"))</f>
        <v/>
      </c>
    </row>
    <row r="7" customFormat="false" ht="15" hidden="false" customHeight="true" outlineLevel="0" collapsed="false">
      <c r="D7" s="16"/>
      <c r="F7" s="17"/>
      <c r="G7" s="18" t="str">
        <f aca="false">IF(B7="","",IFERROR(VLOOKUP(B7&amp;"*",'Master Universe'!$C:$AD,33,FALSE()),""))</f>
        <v/>
      </c>
      <c r="H7" s="19" t="str">
        <f aca="false">IF(OR(E7="",G7=""),"",ROUND(E7*G7,0))</f>
        <v/>
      </c>
      <c r="I7" s="19" t="str">
        <f aca="false">IF(OR(H7="",F7=""),"",H7-F7)</f>
        <v/>
      </c>
      <c r="J7" s="20" t="str">
        <f aca="false">IF(OR(I7="",F7="",F7=0),"",ROUND(I7/F7*100,1))</f>
        <v/>
      </c>
      <c r="L7" s="20" t="str">
        <f aca="false">IF(H7="","",ROUND(H7/SUM($H$2:$H$15)*100,1))</f>
        <v/>
      </c>
      <c r="M7" s="2" t="str">
        <f aca="false">IF(OR(L7="",K7=""),"",IF(ABS(L7-VALUE(SUBSTITUTE(K7,"%","")))&gt;5,"Yes","No"))</f>
        <v/>
      </c>
    </row>
    <row r="8" customFormat="false" ht="15" hidden="false" customHeight="true" outlineLevel="0" collapsed="false">
      <c r="D8" s="16"/>
      <c r="F8" s="17"/>
      <c r="G8" s="18" t="str">
        <f aca="false">IF(B8="","",IFERROR(VLOOKUP(B8&amp;"*",'Master Universe'!$C:$AD,33,FALSE()),""))</f>
        <v/>
      </c>
      <c r="H8" s="19" t="str">
        <f aca="false">IF(OR(E8="",G8=""),"",ROUND(E8*G8,0))</f>
        <v/>
      </c>
      <c r="I8" s="19" t="str">
        <f aca="false">IF(OR(H8="",F8=""),"",H8-F8)</f>
        <v/>
      </c>
      <c r="J8" s="20" t="str">
        <f aca="false">IF(OR(I8="",F8="",F8=0),"",ROUND(I8/F8*100,1))</f>
        <v/>
      </c>
      <c r="L8" s="20" t="str">
        <f aca="false">IF(H8="","",ROUND(H8/SUM($H$2:$H$15)*100,1))</f>
        <v/>
      </c>
      <c r="M8" s="2" t="str">
        <f aca="false">IF(OR(L8="",K8=""),"",IF(ABS(L8-VALUE(SUBSTITUTE(K8,"%","")))&gt;5,"Yes","No"))</f>
        <v/>
      </c>
    </row>
    <row r="9" customFormat="false" ht="15" hidden="false" customHeight="true" outlineLevel="0" collapsed="false">
      <c r="D9" s="16"/>
      <c r="F9" s="17"/>
      <c r="G9" s="18" t="str">
        <f aca="false">IF(B9="","",IFERROR(VLOOKUP(B9&amp;"*",'Master Universe'!$C:$AD,33,FALSE()),""))</f>
        <v/>
      </c>
      <c r="H9" s="19" t="str">
        <f aca="false">IF(OR(E9="",G9=""),"",ROUND(E9*G9,0))</f>
        <v/>
      </c>
      <c r="I9" s="19" t="str">
        <f aca="false">IF(OR(H9="",F9=""),"",H9-F9)</f>
        <v/>
      </c>
      <c r="J9" s="20" t="str">
        <f aca="false">IF(OR(I9="",F9="",F9=0),"",ROUND(I9/F9*100,1))</f>
        <v/>
      </c>
      <c r="L9" s="20" t="str">
        <f aca="false">IF(H9="","",ROUND(H9/SUM($H$2:$H$15)*100,1))</f>
        <v/>
      </c>
      <c r="M9" s="2" t="str">
        <f aca="false">IF(OR(L9="",K9=""),"",IF(ABS(L9-VALUE(SUBSTITUTE(K9,"%","")))&gt;5,"Yes","No"))</f>
        <v/>
      </c>
    </row>
    <row r="10" customFormat="false" ht="15" hidden="false" customHeight="true" outlineLevel="0" collapsed="false">
      <c r="D10" s="16"/>
      <c r="F10" s="17"/>
      <c r="G10" s="18" t="str">
        <f aca="false">IF(B10="","",IFERROR(VLOOKUP(B10&amp;"*",'Master Universe'!$C:$AD,33,FALSE()),""))</f>
        <v/>
      </c>
      <c r="H10" s="19" t="str">
        <f aca="false">IF(OR(E10="",G10=""),"",ROUND(E10*G10,0))</f>
        <v/>
      </c>
      <c r="I10" s="19" t="str">
        <f aca="false">IF(OR(H10="",F10=""),"",H10-F10)</f>
        <v/>
      </c>
      <c r="J10" s="20" t="str">
        <f aca="false">IF(OR(I10="",F10="",F10=0),"",ROUND(I10/F10*100,1))</f>
        <v/>
      </c>
      <c r="L10" s="20" t="str">
        <f aca="false">IF(H10="","",ROUND(H10/SUM($H$2:$H$15)*100,1))</f>
        <v/>
      </c>
      <c r="M10" s="2" t="str">
        <f aca="false">IF(OR(L10="",K10=""),"",IF(ABS(L10-VALUE(SUBSTITUTE(K10,"%","")))&gt;5,"Yes","No"))</f>
        <v/>
      </c>
    </row>
    <row r="11" customFormat="false" ht="15" hidden="false" customHeight="true" outlineLevel="0" collapsed="false">
      <c r="D11" s="16"/>
      <c r="F11" s="17"/>
      <c r="G11" s="18" t="str">
        <f aca="false">IF(B11="","",IFERROR(VLOOKUP(B11&amp;"*",'Master Universe'!$C:$AD,33,FALSE()),""))</f>
        <v/>
      </c>
      <c r="H11" s="19" t="str">
        <f aca="false">IF(OR(E11="",G11=""),"",ROUND(E11*G11,0))</f>
        <v/>
      </c>
      <c r="I11" s="19" t="str">
        <f aca="false">IF(OR(H11="",F11=""),"",H11-F11)</f>
        <v/>
      </c>
      <c r="J11" s="20" t="str">
        <f aca="false">IF(OR(I11="",F11="",F11=0),"",ROUND(I11/F11*100,1))</f>
        <v/>
      </c>
      <c r="L11" s="20" t="str">
        <f aca="false">IF(H11="","",ROUND(H11/SUM($H$2:$H$15)*100,1))</f>
        <v/>
      </c>
      <c r="M11" s="2" t="str">
        <f aca="false">IF(OR(L11="",K11=""),"",IF(ABS(L11-VALUE(SUBSTITUTE(K11,"%","")))&gt;5,"Yes","No"))</f>
        <v/>
      </c>
    </row>
    <row r="12" customFormat="false" ht="15" hidden="false" customHeight="true" outlineLevel="0" collapsed="false">
      <c r="D12" s="16"/>
      <c r="F12" s="17"/>
      <c r="G12" s="18" t="str">
        <f aca="false">IF(B12="","",IFERROR(VLOOKUP(B12&amp;"*",'Master Universe'!$C:$AD,33,FALSE()),""))</f>
        <v/>
      </c>
      <c r="H12" s="19" t="str">
        <f aca="false">IF(OR(E12="",G12=""),"",ROUND(E12*G12,0))</f>
        <v/>
      </c>
      <c r="I12" s="19" t="str">
        <f aca="false">IF(OR(H12="",F12=""),"",H12-F12)</f>
        <v/>
      </c>
      <c r="J12" s="20" t="str">
        <f aca="false">IF(OR(I12="",F12="",F12=0),"",ROUND(I12/F12*100,1))</f>
        <v/>
      </c>
      <c r="L12" s="20" t="str">
        <f aca="false">IF(H12="","",ROUND(H12/SUM($H$2:$H$15)*100,1))</f>
        <v/>
      </c>
      <c r="M12" s="2" t="str">
        <f aca="false">IF(OR(L12="",K12=""),"",IF(ABS(L12-VALUE(SUBSTITUTE(K12,"%","")))&gt;5,"Yes","No"))</f>
        <v/>
      </c>
    </row>
    <row r="13" customFormat="false" ht="15" hidden="false" customHeight="true" outlineLevel="0" collapsed="false">
      <c r="D13" s="16"/>
      <c r="F13" s="17"/>
      <c r="G13" s="18" t="str">
        <f aca="false">IF(B13="","",IFERROR(VLOOKUP(B13&amp;"*",'Master Universe'!$C:$AD,33,FALSE()),""))</f>
        <v/>
      </c>
      <c r="H13" s="19" t="str">
        <f aca="false">IF(OR(E13="",G13=""),"",ROUND(E13*G13,0))</f>
        <v/>
      </c>
      <c r="I13" s="19" t="str">
        <f aca="false">IF(OR(H13="",F13=""),"",H13-F13)</f>
        <v/>
      </c>
      <c r="J13" s="20" t="str">
        <f aca="false">IF(OR(I13="",F13="",F13=0),"",ROUND(I13/F13*100,1))</f>
        <v/>
      </c>
      <c r="L13" s="20" t="str">
        <f aca="false">IF(H13="","",ROUND(H13/SUM($H$2:$H$15)*100,1))</f>
        <v/>
      </c>
      <c r="M13" s="2" t="str">
        <f aca="false">IF(OR(L13="",K13=""),"",IF(ABS(L13-VALUE(SUBSTITUTE(K13,"%","")))&gt;5,"Yes","No"))</f>
        <v/>
      </c>
    </row>
    <row r="14" customFormat="false" ht="15" hidden="false" customHeight="true" outlineLevel="0" collapsed="false">
      <c r="D14" s="16"/>
      <c r="F14" s="17"/>
      <c r="G14" s="18" t="str">
        <f aca="false">IF(B14="","",IFERROR(VLOOKUP(B14&amp;"*",'Master Universe'!$C:$AD,33,FALSE()),""))</f>
        <v/>
      </c>
      <c r="H14" s="19" t="str">
        <f aca="false">IF(OR(E14="",G14=""),"",ROUND(E14*G14,0))</f>
        <v/>
      </c>
      <c r="I14" s="19" t="str">
        <f aca="false">IF(OR(H14="",F14=""),"",H14-F14)</f>
        <v/>
      </c>
      <c r="J14" s="20" t="str">
        <f aca="false">IF(OR(I14="",F14="",F14=0),"",ROUND(I14/F14*100,1))</f>
        <v/>
      </c>
      <c r="L14" s="20" t="str">
        <f aca="false">IF(H14="","",ROUND(H14/SUM($H$2:$H$15)*100,1))</f>
        <v/>
      </c>
      <c r="M14" s="2" t="str">
        <f aca="false">IF(OR(L14="",K14=""),"",IF(ABS(L14-VALUE(SUBSTITUTE(K14,"%","")))&gt;5,"Yes","No"))</f>
        <v/>
      </c>
    </row>
    <row r="15" customFormat="false" ht="15" hidden="false" customHeight="true" outlineLevel="0" collapsed="false">
      <c r="D15" s="16"/>
      <c r="F15" s="17"/>
      <c r="G15" s="18" t="str">
        <f aca="false">IF(B15="","",IFERROR(VLOOKUP(B15&amp;"*",'Master Universe'!$C:$AD,33,FALSE()),""))</f>
        <v/>
      </c>
      <c r="H15" s="19" t="str">
        <f aca="false">IF(OR(E15="",G15=""),"",ROUND(E15*G15,0))</f>
        <v/>
      </c>
      <c r="I15" s="19" t="str">
        <f aca="false">IF(OR(H15="",F15=""),"",H15-F15)</f>
        <v/>
      </c>
      <c r="J15" s="20" t="str">
        <f aca="false">IF(OR(I15="",F15="",F15=0),"",ROUND(I15/F15*100,1))</f>
        <v/>
      </c>
      <c r="L15" s="20" t="str">
        <f aca="false">IF(H15="","",ROUND(H15/SUM($H$2:$H$15)*100,1))</f>
        <v/>
      </c>
      <c r="M15" s="2" t="str">
        <f aca="false">IF(OR(L15="",K15=""),"",IF(ABS(L15-VALUE(SUBSTITUTE(K15,"%","")))&gt;5,"Yes","No"))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20"/>
    <col collapsed="false" customWidth="true" hidden="false" outlineLevel="0" max="5" min="4" style="0" width="15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10" min="9" style="0" width="15"/>
  </cols>
  <sheetData>
    <row r="1" customFormat="false" ht="15" hidden="false" customHeight="true" outlineLevel="0" collapsed="false">
      <c r="A1" s="1" t="s">
        <v>25</v>
      </c>
      <c r="B1" s="1" t="s">
        <v>606</v>
      </c>
      <c r="C1" s="1" t="s">
        <v>607</v>
      </c>
      <c r="D1" s="1" t="s">
        <v>608</v>
      </c>
      <c r="E1" s="1" t="s">
        <v>609</v>
      </c>
      <c r="F1" s="1" t="s">
        <v>610</v>
      </c>
      <c r="G1" s="1" t="s">
        <v>611</v>
      </c>
      <c r="H1" s="1" t="s">
        <v>612</v>
      </c>
      <c r="I1" s="1" t="s">
        <v>58</v>
      </c>
      <c r="J1" s="1" t="s">
        <v>613</v>
      </c>
    </row>
    <row r="2" customFormat="false" ht="15" hidden="false" customHeight="true" outlineLevel="0" collapsed="false">
      <c r="A2" s="0" t="s">
        <v>158</v>
      </c>
      <c r="B2" s="0" t="s">
        <v>614</v>
      </c>
      <c r="C2" s="0" t="s">
        <v>615</v>
      </c>
      <c r="D2" s="0" t="s">
        <v>616</v>
      </c>
      <c r="E2" s="0" t="s">
        <v>617</v>
      </c>
      <c r="F2" s="0" t="s">
        <v>618</v>
      </c>
      <c r="G2" s="0" t="s">
        <v>619</v>
      </c>
      <c r="I2" s="0" t="s">
        <v>620</v>
      </c>
      <c r="J2" s="0" t="s">
        <v>621</v>
      </c>
    </row>
    <row r="3" customFormat="false" ht="15" hidden="false" customHeight="true" outlineLevel="0" collapsed="false">
      <c r="A3" s="0" t="s">
        <v>349</v>
      </c>
      <c r="B3" s="0" t="s">
        <v>622</v>
      </c>
      <c r="C3" s="0" t="s">
        <v>615</v>
      </c>
      <c r="D3" s="0" t="s">
        <v>616</v>
      </c>
      <c r="E3" s="0" t="s">
        <v>623</v>
      </c>
      <c r="F3" s="0" t="s">
        <v>618</v>
      </c>
      <c r="G3" s="0" t="s">
        <v>619</v>
      </c>
      <c r="I3" s="0" t="s">
        <v>620</v>
      </c>
      <c r="J3" s="0" t="s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7" min="7" style="0" width="28"/>
    <col collapsed="false" customWidth="true" hidden="false" outlineLevel="0" max="8" min="8" style="0" width="30"/>
    <col collapsed="false" customWidth="true" hidden="false" outlineLevel="0" max="10" min="9" style="0" width="15"/>
  </cols>
  <sheetData>
    <row r="1" customFormat="false" ht="15" hidden="false" customHeight="true" outlineLevel="0" collapsed="false">
      <c r="A1" s="1" t="s">
        <v>25</v>
      </c>
      <c r="B1" s="1" t="s">
        <v>545</v>
      </c>
      <c r="C1" s="1" t="s">
        <v>31</v>
      </c>
      <c r="D1" s="1" t="s">
        <v>32</v>
      </c>
      <c r="E1" s="1" t="s">
        <v>33</v>
      </c>
      <c r="F1" s="1" t="s">
        <v>625</v>
      </c>
      <c r="G1" s="1" t="s">
        <v>626</v>
      </c>
      <c r="H1" s="1" t="s">
        <v>627</v>
      </c>
      <c r="I1" s="1" t="s">
        <v>628</v>
      </c>
      <c r="J1" s="1" t="s">
        <v>613</v>
      </c>
    </row>
    <row r="2" customFormat="false" ht="15" hidden="false" customHeight="true" outlineLevel="0" collapsed="false">
      <c r="A2" s="0" t="s">
        <v>158</v>
      </c>
      <c r="B2" s="0" t="s">
        <v>629</v>
      </c>
      <c r="C2" s="0" t="s">
        <v>99</v>
      </c>
      <c r="D2" s="0" t="n">
        <v>92</v>
      </c>
      <c r="E2" s="0" t="n">
        <v>68</v>
      </c>
      <c r="F2" s="0" t="s">
        <v>630</v>
      </c>
      <c r="G2" s="0" t="s">
        <v>631</v>
      </c>
      <c r="H2" s="0" t="s">
        <v>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5" min="1" style="0" width="15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633</v>
      </c>
      <c r="D1" s="1" t="s">
        <v>634</v>
      </c>
      <c r="E1" s="1" t="s">
        <v>613</v>
      </c>
    </row>
    <row r="2" customFormat="false" ht="15" hidden="false" customHeight="true" outlineLevel="0" collapsed="false">
      <c r="A2" s="0" t="s">
        <v>635</v>
      </c>
      <c r="C2" s="0" t="s">
        <v>636</v>
      </c>
    </row>
    <row r="3" customFormat="false" ht="15" hidden="false" customHeight="true" outlineLevel="0" collapsed="false">
      <c r="A3" s="0" t="s">
        <v>637</v>
      </c>
    </row>
    <row r="4" customFormat="false" ht="15" hidden="false" customHeight="true" outlineLevel="0" collapsed="false">
      <c r="A4" s="0" t="s">
        <v>638</v>
      </c>
    </row>
    <row r="5" customFormat="false" ht="15" hidden="false" customHeight="true" outlineLevel="0" collapsed="false">
      <c r="A5" s="0" t="s">
        <v>639</v>
      </c>
    </row>
    <row r="6" customFormat="false" ht="15" hidden="false" customHeight="true" outlineLevel="0" collapsed="false">
      <c r="A6" s="0" t="s">
        <v>640</v>
      </c>
      <c r="C6" s="0" t="s">
        <v>636</v>
      </c>
    </row>
    <row r="7" customFormat="false" ht="15" hidden="false" customHeight="true" outlineLevel="0" collapsed="false">
      <c r="A7" s="0" t="s">
        <v>641</v>
      </c>
    </row>
    <row r="8" customFormat="false" ht="15" hidden="false" customHeight="true" outlineLevel="0" collapsed="false">
      <c r="A8" s="0" t="s">
        <v>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9.14"/>
    <col collapsed="false" customWidth="true" hidden="false" outlineLevel="0" max="4" min="4" style="0" width="127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55"/>
  </cols>
  <sheetData>
    <row r="1" customFormat="false" ht="15" hidden="false" customHeight="true" outlineLevel="0" collapsed="false">
      <c r="A1" s="22" t="s">
        <v>643</v>
      </c>
      <c r="B1" s="22" t="s">
        <v>25</v>
      </c>
      <c r="C1" s="22" t="s">
        <v>644</v>
      </c>
      <c r="D1" s="22" t="s">
        <v>59</v>
      </c>
      <c r="E1" s="22" t="s">
        <v>645</v>
      </c>
      <c r="F1" s="22" t="s">
        <v>58</v>
      </c>
      <c r="G1" s="22" t="s">
        <v>557</v>
      </c>
    </row>
    <row r="2" customFormat="false" ht="15" hidden="false" customHeight="true" outlineLevel="0" collapsed="false">
      <c r="A2" s="0" t="n">
        <v>1</v>
      </c>
      <c r="B2" s="0" t="s">
        <v>429</v>
      </c>
      <c r="C2" s="0" t="s">
        <v>646</v>
      </c>
      <c r="D2" s="0" t="s">
        <v>647</v>
      </c>
      <c r="E2" s="0" t="s">
        <v>648</v>
      </c>
      <c r="F2" s="0" t="s">
        <v>161</v>
      </c>
      <c r="G2" s="0" t="s">
        <v>649</v>
      </c>
    </row>
    <row r="3" customFormat="false" ht="15" hidden="false" customHeight="true" outlineLevel="0" collapsed="false">
      <c r="A3" s="0" t="n">
        <v>2</v>
      </c>
      <c r="B3" s="0" t="s">
        <v>408</v>
      </c>
      <c r="C3" s="0" t="s">
        <v>646</v>
      </c>
      <c r="D3" s="0" t="s">
        <v>650</v>
      </c>
      <c r="E3" s="0" t="s">
        <v>648</v>
      </c>
      <c r="F3" s="0" t="s">
        <v>161</v>
      </c>
      <c r="G3" s="0" t="s">
        <v>651</v>
      </c>
    </row>
    <row r="4" customFormat="false" ht="15" hidden="false" customHeight="true" outlineLevel="0" collapsed="false">
      <c r="A4" s="0" t="n">
        <v>3</v>
      </c>
      <c r="B4" s="0" t="s">
        <v>499</v>
      </c>
      <c r="C4" s="0" t="s">
        <v>652</v>
      </c>
      <c r="D4" s="0" t="s">
        <v>653</v>
      </c>
      <c r="E4" s="0" t="s">
        <v>505</v>
      </c>
      <c r="F4" s="0" t="s">
        <v>654</v>
      </c>
      <c r="G4" s="0" t="s">
        <v>655</v>
      </c>
    </row>
    <row r="5" customFormat="false" ht="15" hidden="false" customHeight="true" outlineLevel="0" collapsed="false">
      <c r="A5" s="0" t="n">
        <v>4</v>
      </c>
      <c r="B5" s="0" t="s">
        <v>418</v>
      </c>
      <c r="C5" s="0" t="s">
        <v>656</v>
      </c>
      <c r="D5" s="0" t="s">
        <v>657</v>
      </c>
      <c r="E5" s="0" t="s">
        <v>14</v>
      </c>
      <c r="F5" s="0" t="s">
        <v>161</v>
      </c>
      <c r="G5" s="0" t="s">
        <v>658</v>
      </c>
    </row>
    <row r="6" customFormat="false" ht="15" hidden="false" customHeight="true" outlineLevel="0" collapsed="false">
      <c r="A6" s="0" t="n">
        <v>5</v>
      </c>
      <c r="B6" s="0" t="s">
        <v>206</v>
      </c>
      <c r="C6" s="0" t="s">
        <v>652</v>
      </c>
      <c r="D6" s="0" t="s">
        <v>659</v>
      </c>
      <c r="E6" s="0" t="s">
        <v>660</v>
      </c>
      <c r="F6" s="0" t="s">
        <v>654</v>
      </c>
      <c r="G6" s="0" t="s">
        <v>661</v>
      </c>
    </row>
    <row r="7" customFormat="false" ht="15" hidden="false" customHeight="true" outlineLevel="0" collapsed="false">
      <c r="A7" s="0" t="n">
        <v>6</v>
      </c>
      <c r="B7" s="0" t="s">
        <v>282</v>
      </c>
      <c r="C7" s="0" t="s">
        <v>662</v>
      </c>
      <c r="D7" s="0" t="s">
        <v>663</v>
      </c>
      <c r="E7" s="0" t="s">
        <v>14</v>
      </c>
      <c r="F7" s="0" t="s">
        <v>664</v>
      </c>
      <c r="G7" s="0" t="s">
        <v>665</v>
      </c>
    </row>
    <row r="8" customFormat="false" ht="15" hidden="false" customHeight="true" outlineLevel="0" collapsed="false">
      <c r="A8" s="0" t="n">
        <v>7</v>
      </c>
      <c r="B8" s="0" t="s">
        <v>490</v>
      </c>
      <c r="C8" s="0" t="s">
        <v>666</v>
      </c>
      <c r="D8" s="0" t="s">
        <v>667</v>
      </c>
      <c r="E8" s="0" t="s">
        <v>14</v>
      </c>
      <c r="F8" s="0" t="s">
        <v>668</v>
      </c>
      <c r="G8" s="0" t="s">
        <v>669</v>
      </c>
    </row>
    <row r="9" customFormat="false" ht="15" hidden="false" customHeight="true" outlineLevel="0" collapsed="false">
      <c r="A9" s="0" t="n">
        <v>8</v>
      </c>
      <c r="B9" s="0" t="s">
        <v>479</v>
      </c>
      <c r="C9" s="0" t="s">
        <v>646</v>
      </c>
      <c r="D9" s="0" t="s">
        <v>670</v>
      </c>
      <c r="E9" s="0" t="s">
        <v>648</v>
      </c>
      <c r="F9" s="0" t="s">
        <v>161</v>
      </c>
      <c r="G9" s="0" t="s">
        <v>671</v>
      </c>
    </row>
    <row r="10" customFormat="false" ht="15" hidden="false" customHeight="true" outlineLevel="0" collapsed="false">
      <c r="A10" s="0" t="n">
        <v>9</v>
      </c>
      <c r="B10" s="0" t="s">
        <v>250</v>
      </c>
      <c r="C10" s="0" t="s">
        <v>652</v>
      </c>
      <c r="D10" s="0" t="s">
        <v>672</v>
      </c>
      <c r="E10" s="0" t="s">
        <v>660</v>
      </c>
      <c r="F10" s="0" t="s">
        <v>654</v>
      </c>
      <c r="G10" s="0" t="s">
        <v>673</v>
      </c>
    </row>
    <row r="11" customFormat="false" ht="15" hidden="false" customHeight="true" outlineLevel="0" collapsed="false">
      <c r="A11" s="0" t="n">
        <v>10</v>
      </c>
      <c r="B11" s="0" t="s">
        <v>219</v>
      </c>
      <c r="C11" s="0" t="s">
        <v>646</v>
      </c>
      <c r="D11" s="0" t="s">
        <v>674</v>
      </c>
      <c r="E11" s="0" t="s">
        <v>14</v>
      </c>
      <c r="F11" s="0" t="s">
        <v>668</v>
      </c>
      <c r="G11" s="0" t="s">
        <v>675</v>
      </c>
    </row>
    <row r="12" customFormat="false" ht="15" hidden="false" customHeight="true" outlineLevel="0" collapsed="false">
      <c r="A12" s="0" t="n">
        <v>11</v>
      </c>
      <c r="B12" s="0" t="s">
        <v>349</v>
      </c>
      <c r="C12" s="0" t="s">
        <v>676</v>
      </c>
      <c r="D12" s="0" t="s">
        <v>677</v>
      </c>
      <c r="E12" s="0" t="s">
        <v>660</v>
      </c>
      <c r="F12" s="0" t="s">
        <v>654</v>
      </c>
      <c r="G12" s="0" t="s">
        <v>678</v>
      </c>
    </row>
    <row r="13" customFormat="false" ht="15" hidden="false" customHeight="true" outlineLevel="0" collapsed="false">
      <c r="A13" s="0" t="n">
        <v>12</v>
      </c>
      <c r="B13" s="0" t="s">
        <v>386</v>
      </c>
      <c r="C13" s="0" t="s">
        <v>646</v>
      </c>
      <c r="D13" s="0" t="s">
        <v>679</v>
      </c>
      <c r="E13" s="0" t="s">
        <v>648</v>
      </c>
      <c r="F13" s="0" t="s">
        <v>161</v>
      </c>
      <c r="G13" s="0" t="s">
        <v>680</v>
      </c>
    </row>
    <row r="14" customFormat="false" ht="15" hidden="false" customHeight="true" outlineLevel="0" collapsed="false">
      <c r="A14" s="0" t="n">
        <v>13</v>
      </c>
      <c r="B14" s="0" t="s">
        <v>271</v>
      </c>
      <c r="C14" s="0" t="s">
        <v>652</v>
      </c>
      <c r="D14" s="0" t="s">
        <v>681</v>
      </c>
      <c r="E14" s="0" t="s">
        <v>660</v>
      </c>
      <c r="F14" s="0" t="s">
        <v>654</v>
      </c>
      <c r="G14" s="0" t="s">
        <v>682</v>
      </c>
    </row>
    <row r="15" customFormat="false" ht="15" hidden="false" customHeight="true" outlineLevel="0" collapsed="false">
      <c r="A15" s="0" t="n">
        <v>14</v>
      </c>
      <c r="B15" s="0" t="s">
        <v>569</v>
      </c>
      <c r="C15" s="0" t="s">
        <v>666</v>
      </c>
      <c r="D15" s="0" t="s">
        <v>683</v>
      </c>
      <c r="E15" s="0" t="s">
        <v>648</v>
      </c>
      <c r="F15" s="0" t="s">
        <v>668</v>
      </c>
      <c r="G15" s="0" t="s">
        <v>684</v>
      </c>
    </row>
    <row r="16" customFormat="false" ht="15" hidden="false" customHeight="true" outlineLevel="0" collapsed="false">
      <c r="A16" s="0" t="n">
        <v>15</v>
      </c>
      <c r="B16" s="0" t="s">
        <v>440</v>
      </c>
      <c r="C16" s="0" t="s">
        <v>652</v>
      </c>
      <c r="D16" s="0" t="s">
        <v>685</v>
      </c>
      <c r="E16" s="0" t="s">
        <v>505</v>
      </c>
      <c r="F16" s="0" t="s">
        <v>654</v>
      </c>
      <c r="G16" s="0" t="s">
        <v>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0" t="s">
        <v>25</v>
      </c>
      <c r="B1" s="0" t="s">
        <v>26</v>
      </c>
      <c r="C1" s="0" t="s">
        <v>687</v>
      </c>
      <c r="D1" s="0" t="s">
        <v>688</v>
      </c>
      <c r="E1" s="0" t="s">
        <v>689</v>
      </c>
      <c r="F1" s="0" t="s">
        <v>690</v>
      </c>
      <c r="G1" s="0" t="s">
        <v>691</v>
      </c>
      <c r="H1" s="0" t="s">
        <v>22</v>
      </c>
    </row>
    <row r="2" customFormat="false" ht="15" hidden="false" customHeight="true" outlineLevel="0" collapsed="false">
      <c r="A2" s="0" t="s">
        <v>94</v>
      </c>
      <c r="B2" s="0" t="s">
        <v>95</v>
      </c>
      <c r="C2" s="0" t="n">
        <v>95</v>
      </c>
      <c r="D2" s="0" t="n">
        <v>90</v>
      </c>
      <c r="E2" s="0" t="n">
        <v>95</v>
      </c>
      <c r="F2" s="0" t="n">
        <v>80</v>
      </c>
      <c r="G2" s="0" t="n">
        <v>80</v>
      </c>
      <c r="H2" s="0" t="s">
        <v>692</v>
      </c>
    </row>
    <row r="3" customFormat="false" ht="15" hidden="false" customHeight="true" outlineLevel="0" collapsed="false">
      <c r="A3" s="0" t="s">
        <v>118</v>
      </c>
      <c r="B3" s="0" t="s">
        <v>119</v>
      </c>
      <c r="C3" s="0" t="n">
        <v>95</v>
      </c>
      <c r="D3" s="0" t="n">
        <v>95</v>
      </c>
      <c r="E3" s="0" t="n">
        <v>95</v>
      </c>
      <c r="F3" s="0" t="n">
        <v>32</v>
      </c>
      <c r="G3" s="0" t="n">
        <v>90</v>
      </c>
    </row>
    <row r="4" customFormat="false" ht="15" hidden="false" customHeight="true" outlineLevel="0" collapsed="false">
      <c r="A4" s="0" t="s">
        <v>130</v>
      </c>
      <c r="B4" s="0" t="s">
        <v>131</v>
      </c>
      <c r="C4" s="0" t="n">
        <v>85</v>
      </c>
      <c r="D4" s="0" t="n">
        <v>80</v>
      </c>
      <c r="E4" s="0" t="n">
        <v>70</v>
      </c>
      <c r="F4" s="0" t="n">
        <v>100</v>
      </c>
      <c r="G4" s="0" t="n">
        <v>70</v>
      </c>
    </row>
    <row r="5" customFormat="false" ht="15" hidden="false" customHeight="true" outlineLevel="0" collapsed="false">
      <c r="A5" s="0" t="s">
        <v>145</v>
      </c>
      <c r="B5" s="0" t="s">
        <v>146</v>
      </c>
      <c r="C5" s="0" t="n">
        <v>75</v>
      </c>
      <c r="D5" s="0" t="n">
        <v>80</v>
      </c>
      <c r="E5" s="0" t="n">
        <v>75</v>
      </c>
      <c r="F5" s="0" t="n">
        <v>64</v>
      </c>
      <c r="G5" s="0" t="n">
        <v>85</v>
      </c>
    </row>
    <row r="6" customFormat="false" ht="15" hidden="false" customHeight="true" outlineLevel="0" collapsed="false">
      <c r="A6" s="0" t="s">
        <v>158</v>
      </c>
      <c r="B6" s="0" t="s">
        <v>159</v>
      </c>
      <c r="C6" s="0" t="n">
        <v>85</v>
      </c>
      <c r="D6" s="0" t="n">
        <v>80</v>
      </c>
      <c r="E6" s="0" t="n">
        <v>75</v>
      </c>
      <c r="F6" s="0" t="n">
        <v>100</v>
      </c>
      <c r="G6" s="0" t="n">
        <v>65</v>
      </c>
    </row>
    <row r="7" customFormat="false" ht="15" hidden="false" customHeight="true" outlineLevel="0" collapsed="false">
      <c r="A7" s="0" t="s">
        <v>171</v>
      </c>
      <c r="B7" s="0" t="s">
        <v>172</v>
      </c>
      <c r="C7" s="0" t="n">
        <v>70</v>
      </c>
      <c r="D7" s="0" t="n">
        <v>70</v>
      </c>
      <c r="E7" s="0" t="n">
        <v>55</v>
      </c>
      <c r="F7" s="0" t="n">
        <v>44</v>
      </c>
      <c r="G7" s="0" t="n">
        <v>60</v>
      </c>
    </row>
    <row r="8" customFormat="false" ht="15" hidden="false" customHeight="true" outlineLevel="0" collapsed="false">
      <c r="A8" s="0" t="s">
        <v>185</v>
      </c>
      <c r="B8" s="0" t="s">
        <v>186</v>
      </c>
      <c r="C8" s="0" t="n">
        <v>85</v>
      </c>
      <c r="D8" s="0" t="n">
        <v>85</v>
      </c>
      <c r="E8" s="0" t="n">
        <v>75</v>
      </c>
      <c r="F8" s="0" t="n">
        <v>100</v>
      </c>
      <c r="G8" s="0" t="n">
        <v>75</v>
      </c>
    </row>
    <row r="9" customFormat="false" ht="15" hidden="false" customHeight="true" outlineLevel="0" collapsed="false">
      <c r="A9" s="0" t="s">
        <v>196</v>
      </c>
      <c r="B9" s="0" t="s">
        <v>197</v>
      </c>
      <c r="C9" s="0" t="n">
        <v>40</v>
      </c>
      <c r="D9" s="0" t="n">
        <v>55</v>
      </c>
      <c r="E9" s="0" t="n">
        <v>60</v>
      </c>
      <c r="F9" s="0" t="n">
        <v>30</v>
      </c>
      <c r="G9" s="0" t="n">
        <v>40</v>
      </c>
    </row>
    <row r="10" customFormat="false" ht="15" hidden="false" customHeight="true" outlineLevel="0" collapsed="false">
      <c r="A10" s="0" t="s">
        <v>206</v>
      </c>
      <c r="B10" s="0" t="s">
        <v>207</v>
      </c>
      <c r="C10" s="0" t="n">
        <v>55</v>
      </c>
      <c r="D10" s="0" t="n">
        <v>70</v>
      </c>
      <c r="E10" s="0" t="n">
        <v>60</v>
      </c>
      <c r="F10" s="0" t="n">
        <v>100</v>
      </c>
      <c r="G10" s="0" t="n">
        <v>55</v>
      </c>
    </row>
    <row r="11" customFormat="false" ht="15" hidden="false" customHeight="true" outlineLevel="0" collapsed="false">
      <c r="A11" s="0" t="s">
        <v>219</v>
      </c>
      <c r="B11" s="0" t="s">
        <v>220</v>
      </c>
      <c r="C11" s="0" t="n">
        <v>65</v>
      </c>
      <c r="D11" s="0" t="n">
        <v>65</v>
      </c>
      <c r="E11" s="0" t="n">
        <v>65</v>
      </c>
      <c r="F11" s="0" t="n">
        <v>100</v>
      </c>
      <c r="G11" s="0" t="n">
        <v>55</v>
      </c>
    </row>
    <row r="12" customFormat="false" ht="15" hidden="false" customHeight="true" outlineLevel="0" collapsed="false">
      <c r="A12" s="0" t="s">
        <v>228</v>
      </c>
      <c r="B12" s="0" t="s">
        <v>229</v>
      </c>
      <c r="C12" s="0" t="n">
        <v>65</v>
      </c>
      <c r="D12" s="0" t="n">
        <v>60</v>
      </c>
      <c r="E12" s="0" t="n">
        <v>55</v>
      </c>
      <c r="F12" s="0" t="n">
        <v>70</v>
      </c>
      <c r="G12" s="0" t="n">
        <v>60</v>
      </c>
    </row>
    <row r="13" customFormat="false" ht="15" hidden="false" customHeight="true" outlineLevel="0" collapsed="false">
      <c r="A13" s="0" t="s">
        <v>236</v>
      </c>
      <c r="B13" s="0" t="s">
        <v>237</v>
      </c>
      <c r="C13" s="0" t="n">
        <v>70</v>
      </c>
      <c r="D13" s="0" t="n">
        <v>65</v>
      </c>
      <c r="E13" s="0" t="n">
        <v>70</v>
      </c>
      <c r="F13" s="0" t="n">
        <v>52</v>
      </c>
      <c r="G13" s="0" t="n">
        <v>65</v>
      </c>
    </row>
    <row r="14" customFormat="false" ht="15" hidden="false" customHeight="true" outlineLevel="0" collapsed="false">
      <c r="A14" s="0" t="s">
        <v>250</v>
      </c>
      <c r="B14" s="0" t="s">
        <v>251</v>
      </c>
      <c r="C14" s="0" t="n">
        <v>55</v>
      </c>
      <c r="D14" s="0" t="n">
        <v>60</v>
      </c>
      <c r="E14" s="0" t="n">
        <v>85</v>
      </c>
      <c r="F14" s="0" t="n">
        <v>60</v>
      </c>
      <c r="G14" s="0" t="n">
        <v>55</v>
      </c>
    </row>
    <row r="15" customFormat="false" ht="15" hidden="false" customHeight="true" outlineLevel="0" collapsed="false">
      <c r="A15" s="0" t="s">
        <v>261</v>
      </c>
      <c r="B15" s="0" t="s">
        <v>262</v>
      </c>
      <c r="C15" s="0" t="n">
        <v>65</v>
      </c>
      <c r="D15" s="0" t="n">
        <v>60</v>
      </c>
      <c r="E15" s="0" t="n">
        <v>55</v>
      </c>
      <c r="F15" s="0" t="n">
        <v>32</v>
      </c>
      <c r="G15" s="0" t="n">
        <v>70</v>
      </c>
    </row>
    <row r="16" customFormat="false" ht="15" hidden="false" customHeight="true" outlineLevel="0" collapsed="false">
      <c r="A16" s="0" t="s">
        <v>271</v>
      </c>
      <c r="B16" s="0" t="s">
        <v>272</v>
      </c>
      <c r="C16" s="0" t="n">
        <v>60</v>
      </c>
      <c r="D16" s="0" t="n">
        <v>80</v>
      </c>
      <c r="E16" s="0" t="n">
        <v>80</v>
      </c>
      <c r="F16" s="0" t="n">
        <v>48</v>
      </c>
      <c r="G16" s="0" t="n">
        <v>55</v>
      </c>
    </row>
    <row r="17" customFormat="false" ht="15" hidden="false" customHeight="true" outlineLevel="0" collapsed="false">
      <c r="A17" s="0" t="s">
        <v>282</v>
      </c>
      <c r="B17" s="0" t="s">
        <v>283</v>
      </c>
      <c r="C17" s="0" t="n">
        <v>35</v>
      </c>
      <c r="D17" s="0" t="n">
        <v>55</v>
      </c>
      <c r="E17" s="0" t="n">
        <v>45</v>
      </c>
      <c r="F17" s="0" t="n">
        <v>100</v>
      </c>
      <c r="G17" s="0" t="n">
        <v>45</v>
      </c>
    </row>
    <row r="18" customFormat="false" ht="15" hidden="false" customHeight="true" outlineLevel="0" collapsed="false">
      <c r="A18" s="0" t="s">
        <v>292</v>
      </c>
      <c r="B18" s="0" t="s">
        <v>293</v>
      </c>
      <c r="C18" s="0" t="n">
        <v>80</v>
      </c>
      <c r="D18" s="0" t="n">
        <v>75</v>
      </c>
      <c r="E18" s="0" t="n">
        <v>70</v>
      </c>
      <c r="F18" s="0" t="n">
        <v>100</v>
      </c>
      <c r="G18" s="0" t="n">
        <v>65</v>
      </c>
    </row>
    <row r="19" customFormat="false" ht="15" hidden="false" customHeight="true" outlineLevel="0" collapsed="false">
      <c r="A19" s="0" t="s">
        <v>301</v>
      </c>
      <c r="B19" s="0" t="s">
        <v>302</v>
      </c>
      <c r="C19" s="0" t="n">
        <v>20</v>
      </c>
      <c r="D19" s="0" t="n">
        <v>40</v>
      </c>
      <c r="E19" s="0" t="n">
        <v>45</v>
      </c>
      <c r="F19" s="0" t="n">
        <v>0</v>
      </c>
      <c r="G19" s="0" t="n">
        <v>20</v>
      </c>
    </row>
    <row r="20" customFormat="false" ht="15" hidden="false" customHeight="true" outlineLevel="0" collapsed="false">
      <c r="A20" s="0" t="s">
        <v>315</v>
      </c>
      <c r="B20" s="0" t="s">
        <v>316</v>
      </c>
      <c r="C20" s="0" t="n">
        <v>35</v>
      </c>
      <c r="D20" s="0" t="n">
        <v>55</v>
      </c>
      <c r="E20" s="0" t="n">
        <v>50</v>
      </c>
      <c r="F20" s="0" t="n">
        <v>100</v>
      </c>
      <c r="G20" s="0" t="n">
        <v>35</v>
      </c>
    </row>
    <row r="21" customFormat="false" ht="15" hidden="false" customHeight="true" outlineLevel="0" collapsed="false">
      <c r="A21" s="0" t="s">
        <v>327</v>
      </c>
      <c r="B21" s="0" t="s">
        <v>328</v>
      </c>
      <c r="C21" s="0" t="n">
        <v>30</v>
      </c>
      <c r="D21" s="0" t="n">
        <v>50</v>
      </c>
      <c r="E21" s="0" t="n">
        <v>40</v>
      </c>
      <c r="F21" s="0" t="n">
        <v>8</v>
      </c>
      <c r="G21" s="0" t="n">
        <v>45</v>
      </c>
    </row>
    <row r="22" customFormat="false" ht="15" hidden="false" customHeight="true" outlineLevel="0" collapsed="false">
      <c r="A22" s="0" t="s">
        <v>339</v>
      </c>
      <c r="B22" s="0" t="s">
        <v>340</v>
      </c>
      <c r="C22" s="0" t="n">
        <v>35</v>
      </c>
      <c r="D22" s="0" t="n">
        <v>45</v>
      </c>
      <c r="E22" s="0" t="n">
        <v>55</v>
      </c>
      <c r="F22" s="0" t="n">
        <v>0</v>
      </c>
      <c r="G22" s="0" t="n">
        <v>25</v>
      </c>
    </row>
    <row r="23" customFormat="false" ht="15" hidden="false" customHeight="true" outlineLevel="0" collapsed="false">
      <c r="A23" s="0" t="s">
        <v>349</v>
      </c>
      <c r="B23" s="0" t="s">
        <v>350</v>
      </c>
      <c r="C23" s="0" t="n">
        <v>65</v>
      </c>
      <c r="D23" s="0" t="n">
        <v>60</v>
      </c>
      <c r="E23" s="0" t="n">
        <v>60</v>
      </c>
      <c r="F23" s="0" t="n">
        <v>60</v>
      </c>
      <c r="G23" s="0" t="n">
        <v>55</v>
      </c>
    </row>
    <row r="24" customFormat="false" ht="15" hidden="false" customHeight="true" outlineLevel="0" collapsed="false">
      <c r="A24" s="0" t="s">
        <v>363</v>
      </c>
      <c r="B24" s="0" t="s">
        <v>364</v>
      </c>
      <c r="C24" s="0" t="n">
        <v>85</v>
      </c>
      <c r="D24" s="0" t="n">
        <v>85</v>
      </c>
      <c r="E24" s="0" t="n">
        <v>90</v>
      </c>
      <c r="F24" s="0" t="n">
        <v>20</v>
      </c>
      <c r="G24" s="0" t="n">
        <v>85</v>
      </c>
    </row>
    <row r="25" customFormat="false" ht="15" hidden="false" customHeight="true" outlineLevel="0" collapsed="false">
      <c r="A25" s="0" t="s">
        <v>375</v>
      </c>
      <c r="B25" s="0" t="s">
        <v>376</v>
      </c>
      <c r="C25" s="0" t="n">
        <v>85</v>
      </c>
      <c r="D25" s="0" t="n">
        <v>80</v>
      </c>
      <c r="E25" s="0" t="n">
        <v>85</v>
      </c>
      <c r="F25" s="0" t="n">
        <v>72</v>
      </c>
      <c r="G25" s="0" t="n">
        <v>80</v>
      </c>
    </row>
    <row r="26" customFormat="false" ht="15" hidden="false" customHeight="true" outlineLevel="0" collapsed="false">
      <c r="A26" s="0" t="s">
        <v>386</v>
      </c>
      <c r="B26" s="0" t="s">
        <v>387</v>
      </c>
      <c r="C26" s="0" t="n">
        <v>55</v>
      </c>
      <c r="D26" s="0" t="n">
        <v>60</v>
      </c>
      <c r="E26" s="0" t="n">
        <v>55</v>
      </c>
      <c r="F26" s="0" t="n">
        <v>100</v>
      </c>
      <c r="G26" s="0" t="n">
        <v>45</v>
      </c>
    </row>
    <row r="27" customFormat="false" ht="15" hidden="false" customHeight="true" outlineLevel="0" collapsed="false">
      <c r="A27" s="0" t="s">
        <v>397</v>
      </c>
      <c r="B27" s="0" t="s">
        <v>398</v>
      </c>
      <c r="C27" s="0" t="n">
        <v>50</v>
      </c>
      <c r="D27" s="0" t="n">
        <v>50</v>
      </c>
      <c r="E27" s="0" t="n">
        <v>50</v>
      </c>
      <c r="F27" s="0" t="n">
        <v>0</v>
      </c>
      <c r="G27" s="0" t="n">
        <v>50</v>
      </c>
    </row>
    <row r="28" customFormat="false" ht="15" hidden="false" customHeight="true" outlineLevel="0" collapsed="false">
      <c r="A28" s="0" t="s">
        <v>408</v>
      </c>
      <c r="B28" s="0" t="s">
        <v>409</v>
      </c>
      <c r="C28" s="0" t="n">
        <v>75</v>
      </c>
      <c r="D28" s="0" t="n">
        <v>75</v>
      </c>
      <c r="E28" s="0" t="n">
        <v>60</v>
      </c>
      <c r="F28" s="0" t="n">
        <v>100</v>
      </c>
      <c r="G28" s="0" t="n">
        <v>65</v>
      </c>
    </row>
    <row r="29" customFormat="false" ht="15" hidden="false" customHeight="true" outlineLevel="0" collapsed="false">
      <c r="A29" s="0" t="s">
        <v>418</v>
      </c>
      <c r="B29" s="0" t="s">
        <v>419</v>
      </c>
      <c r="C29" s="0" t="n">
        <v>50</v>
      </c>
      <c r="D29" s="0" t="n">
        <v>60</v>
      </c>
      <c r="E29" s="0" t="n">
        <v>55</v>
      </c>
      <c r="F29" s="0" t="n">
        <v>100</v>
      </c>
      <c r="G29" s="0" t="n">
        <v>40</v>
      </c>
    </row>
    <row r="30" customFormat="false" ht="15" hidden="false" customHeight="true" outlineLevel="0" collapsed="false">
      <c r="A30" s="0" t="s">
        <v>429</v>
      </c>
      <c r="B30" s="0" t="s">
        <v>430</v>
      </c>
      <c r="C30" s="0" t="n">
        <v>40</v>
      </c>
      <c r="D30" s="0" t="n">
        <v>55</v>
      </c>
      <c r="E30" s="0" t="n">
        <v>70</v>
      </c>
      <c r="F30" s="0" t="n">
        <v>0</v>
      </c>
      <c r="G30" s="0" t="n">
        <v>45</v>
      </c>
    </row>
    <row r="31" customFormat="false" ht="15" hidden="false" customHeight="true" outlineLevel="0" collapsed="false">
      <c r="A31" s="0" t="s">
        <v>440</v>
      </c>
      <c r="B31" s="0" t="s">
        <v>441</v>
      </c>
      <c r="C31" s="0" t="n">
        <v>30</v>
      </c>
      <c r="D31" s="0" t="n">
        <v>30</v>
      </c>
      <c r="E31" s="0" t="n">
        <v>45</v>
      </c>
      <c r="F31" s="0" t="n">
        <v>100</v>
      </c>
      <c r="G31" s="0" t="n">
        <v>15</v>
      </c>
    </row>
    <row r="32" customFormat="false" ht="15" hidden="false" customHeight="true" outlineLevel="0" collapsed="false">
      <c r="A32" s="0" t="s">
        <v>452</v>
      </c>
      <c r="B32" s="0" t="s">
        <v>453</v>
      </c>
      <c r="C32" s="0" t="n">
        <v>70</v>
      </c>
      <c r="D32" s="0" t="n">
        <v>60</v>
      </c>
      <c r="E32" s="0" t="n">
        <v>50</v>
      </c>
      <c r="F32" s="0" t="n">
        <v>100</v>
      </c>
      <c r="G32" s="0" t="n">
        <v>50</v>
      </c>
    </row>
    <row r="33" customFormat="false" ht="15" hidden="false" customHeight="true" outlineLevel="0" collapsed="false">
      <c r="A33" s="0" t="s">
        <v>464</v>
      </c>
      <c r="B33" s="0" t="s">
        <v>465</v>
      </c>
      <c r="C33" s="0" t="n">
        <v>75</v>
      </c>
      <c r="D33" s="0" t="n">
        <v>55</v>
      </c>
      <c r="E33" s="0" t="n">
        <v>55</v>
      </c>
      <c r="F33" s="0" t="n">
        <v>100</v>
      </c>
      <c r="G33" s="0" t="n">
        <v>70</v>
      </c>
    </row>
    <row r="34" customFormat="false" ht="15" hidden="false" customHeight="true" outlineLevel="0" collapsed="false">
      <c r="A34" s="0" t="s">
        <v>472</v>
      </c>
      <c r="B34" s="0" t="s">
        <v>473</v>
      </c>
      <c r="C34" s="0" t="n">
        <v>60</v>
      </c>
      <c r="D34" s="0" t="n">
        <v>55</v>
      </c>
      <c r="E34" s="0" t="n">
        <v>45</v>
      </c>
      <c r="F34" s="0" t="n">
        <v>100</v>
      </c>
      <c r="G34" s="0" t="n">
        <v>50</v>
      </c>
    </row>
    <row r="35" customFormat="false" ht="15" hidden="false" customHeight="true" outlineLevel="0" collapsed="false">
      <c r="A35" s="0" t="s">
        <v>479</v>
      </c>
      <c r="B35" s="0" t="s">
        <v>480</v>
      </c>
      <c r="C35" s="0" t="n">
        <v>75</v>
      </c>
      <c r="D35" s="0" t="n">
        <v>65</v>
      </c>
      <c r="E35" s="0" t="n">
        <v>65</v>
      </c>
      <c r="F35" s="0" t="n">
        <v>100</v>
      </c>
      <c r="G35" s="0" t="n">
        <v>60</v>
      </c>
    </row>
    <row r="36" customFormat="false" ht="15" hidden="false" customHeight="true" outlineLevel="0" collapsed="false">
      <c r="A36" s="0" t="s">
        <v>490</v>
      </c>
      <c r="B36" s="0" t="s">
        <v>491</v>
      </c>
      <c r="C36" s="0" t="n">
        <v>75</v>
      </c>
      <c r="D36" s="0" t="n">
        <v>65</v>
      </c>
      <c r="E36" s="0" t="n">
        <v>60</v>
      </c>
      <c r="F36" s="0" t="n">
        <v>98</v>
      </c>
      <c r="G36" s="0" t="n">
        <v>65</v>
      </c>
    </row>
    <row r="37" customFormat="false" ht="15" hidden="false" customHeight="true" outlineLevel="0" collapsed="false">
      <c r="A37" s="0" t="s">
        <v>499</v>
      </c>
      <c r="B37" s="0" t="s">
        <v>500</v>
      </c>
      <c r="C37" s="0" t="n">
        <v>60</v>
      </c>
      <c r="D37" s="0" t="n">
        <v>55</v>
      </c>
      <c r="E37" s="0" t="n">
        <v>55</v>
      </c>
      <c r="F37" s="0" t="n">
        <v>100</v>
      </c>
      <c r="G37" s="0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10" min="3" style="0" width="45"/>
  </cols>
  <sheetData>
    <row r="1" customFormat="false" ht="15" hidden="false" customHeight="true" outlineLevel="0" collapsed="false">
      <c r="A1" s="0" t="s">
        <v>25</v>
      </c>
      <c r="B1" s="0" t="s">
        <v>26</v>
      </c>
      <c r="C1" s="0" t="s">
        <v>38</v>
      </c>
      <c r="D1" s="0" t="s">
        <v>49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</row>
    <row r="2" customFormat="false" ht="15" hidden="false" customHeight="true" outlineLevel="0" collapsed="false">
      <c r="A2" s="0" t="s">
        <v>94</v>
      </c>
      <c r="B2" s="0" t="s">
        <v>95</v>
      </c>
      <c r="C2" s="0" t="s">
        <v>102</v>
      </c>
      <c r="D2" s="0" t="s">
        <v>103</v>
      </c>
      <c r="E2" s="0" t="s">
        <v>108</v>
      </c>
      <c r="F2" s="0" t="s">
        <v>109</v>
      </c>
      <c r="G2" s="0" t="s">
        <v>110</v>
      </c>
      <c r="H2" s="0" t="s">
        <v>111</v>
      </c>
      <c r="I2" s="0" t="s">
        <v>112</v>
      </c>
      <c r="J2" s="0" t="s">
        <v>113</v>
      </c>
    </row>
    <row r="3" customFormat="false" ht="15" hidden="false" customHeight="true" outlineLevel="0" collapsed="false">
      <c r="A3" s="0" t="s">
        <v>118</v>
      </c>
      <c r="B3" s="0" t="s">
        <v>119</v>
      </c>
      <c r="C3" s="0" t="s">
        <v>121</v>
      </c>
      <c r="D3" s="0" t="s">
        <v>103</v>
      </c>
      <c r="E3" s="0" t="s">
        <v>108</v>
      </c>
      <c r="F3" s="0" t="s">
        <v>123</v>
      </c>
      <c r="G3" s="0" t="s">
        <v>124</v>
      </c>
      <c r="H3" s="0" t="s">
        <v>125</v>
      </c>
      <c r="I3" s="0" t="s">
        <v>126</v>
      </c>
      <c r="J3" s="0" t="s">
        <v>127</v>
      </c>
    </row>
    <row r="4" customFormat="false" ht="15" hidden="false" customHeight="true" outlineLevel="0" collapsed="false">
      <c r="A4" s="0" t="s">
        <v>130</v>
      </c>
      <c r="B4" s="0" t="s">
        <v>131</v>
      </c>
      <c r="C4" s="0" t="s">
        <v>135</v>
      </c>
      <c r="D4" s="0" t="s">
        <v>103</v>
      </c>
      <c r="E4" s="0" t="s">
        <v>108</v>
      </c>
      <c r="F4" s="0" t="s">
        <v>138</v>
      </c>
      <c r="G4" s="0" t="s">
        <v>139</v>
      </c>
      <c r="H4" s="0" t="s">
        <v>140</v>
      </c>
      <c r="I4" s="0" t="s">
        <v>141</v>
      </c>
      <c r="J4" s="0" t="s">
        <v>142</v>
      </c>
    </row>
    <row r="5" customFormat="false" ht="15" hidden="false" customHeight="true" outlineLevel="0" collapsed="false">
      <c r="A5" s="0" t="s">
        <v>145</v>
      </c>
      <c r="B5" s="0" t="s">
        <v>146</v>
      </c>
      <c r="C5" s="0" t="s">
        <v>150</v>
      </c>
      <c r="D5" s="0" t="s">
        <v>103</v>
      </c>
      <c r="E5" s="0" t="s">
        <v>108</v>
      </c>
      <c r="F5" s="0" t="s">
        <v>152</v>
      </c>
      <c r="G5" s="0" t="s">
        <v>153</v>
      </c>
      <c r="H5" s="0" t="s">
        <v>154</v>
      </c>
      <c r="I5" s="0" t="s">
        <v>155</v>
      </c>
      <c r="J5" s="0" t="s">
        <v>156</v>
      </c>
    </row>
    <row r="6" customFormat="false" ht="15" hidden="false" customHeight="true" outlineLevel="0" collapsed="false">
      <c r="A6" s="0" t="s">
        <v>158</v>
      </c>
      <c r="B6" s="0" t="s">
        <v>159</v>
      </c>
      <c r="C6" s="0" t="s">
        <v>162</v>
      </c>
      <c r="D6" s="0" t="s">
        <v>163</v>
      </c>
      <c r="E6" s="0" t="s">
        <v>108</v>
      </c>
      <c r="F6" s="0" t="s">
        <v>166</v>
      </c>
      <c r="G6" s="0" t="s">
        <v>167</v>
      </c>
      <c r="H6" s="0" t="s">
        <v>168</v>
      </c>
      <c r="I6" s="0" t="s">
        <v>169</v>
      </c>
      <c r="J6" s="0" t="s">
        <v>170</v>
      </c>
    </row>
    <row r="7" customFormat="false" ht="15" hidden="false" customHeight="true" outlineLevel="0" collapsed="false">
      <c r="A7" s="0" t="s">
        <v>171</v>
      </c>
      <c r="B7" s="0" t="s">
        <v>172</v>
      </c>
      <c r="C7" s="0" t="s">
        <v>175</v>
      </c>
      <c r="D7" s="0" t="s">
        <v>176</v>
      </c>
      <c r="E7" s="0" t="s">
        <v>108</v>
      </c>
      <c r="F7" s="0" t="s">
        <v>179</v>
      </c>
      <c r="G7" s="0" t="s">
        <v>180</v>
      </c>
      <c r="H7" s="0" t="s">
        <v>181</v>
      </c>
      <c r="I7" s="0" t="s">
        <v>182</v>
      </c>
      <c r="J7" s="0" t="s">
        <v>183</v>
      </c>
    </row>
    <row r="8" customFormat="false" ht="15" hidden="false" customHeight="true" outlineLevel="0" collapsed="false">
      <c r="A8" s="0" t="s">
        <v>185</v>
      </c>
      <c r="B8" s="0" t="s">
        <v>186</v>
      </c>
      <c r="C8" s="0" t="s">
        <v>189</v>
      </c>
      <c r="D8" s="0" t="s">
        <v>176</v>
      </c>
      <c r="E8" s="0" t="s">
        <v>108</v>
      </c>
      <c r="F8" s="0" t="s">
        <v>190</v>
      </c>
      <c r="G8" s="0" t="s">
        <v>191</v>
      </c>
      <c r="H8" s="0" t="s">
        <v>192</v>
      </c>
      <c r="I8" s="0" t="s">
        <v>193</v>
      </c>
      <c r="J8" s="0" t="s">
        <v>194</v>
      </c>
    </row>
    <row r="9" customFormat="false" ht="15" hidden="false" customHeight="true" outlineLevel="0" collapsed="false">
      <c r="A9" s="0" t="s">
        <v>196</v>
      </c>
      <c r="B9" s="0" t="s">
        <v>197</v>
      </c>
      <c r="C9" s="0" t="s">
        <v>200</v>
      </c>
      <c r="D9" s="0" t="s">
        <v>176</v>
      </c>
      <c r="E9" s="0" t="s">
        <v>108</v>
      </c>
      <c r="F9" s="0" t="s">
        <v>202</v>
      </c>
      <c r="G9" s="0" t="s">
        <v>203</v>
      </c>
      <c r="H9" s="0" t="s">
        <v>204</v>
      </c>
      <c r="I9" s="0" t="s">
        <v>205</v>
      </c>
      <c r="J9" s="0" t="s">
        <v>183</v>
      </c>
    </row>
    <row r="10" customFormat="false" ht="15" hidden="false" customHeight="true" outlineLevel="0" collapsed="false">
      <c r="A10" s="0" t="s">
        <v>206</v>
      </c>
      <c r="B10" s="0" t="s">
        <v>207</v>
      </c>
      <c r="C10" s="0" t="s">
        <v>211</v>
      </c>
      <c r="D10" s="0" t="s">
        <v>176</v>
      </c>
      <c r="E10" s="0" t="s">
        <v>108</v>
      </c>
      <c r="F10" s="0" t="s">
        <v>214</v>
      </c>
      <c r="G10" s="0" t="s">
        <v>215</v>
      </c>
      <c r="H10" s="0" t="s">
        <v>216</v>
      </c>
      <c r="I10" s="0" t="s">
        <v>217</v>
      </c>
      <c r="J10" s="0" t="s">
        <v>218</v>
      </c>
    </row>
    <row r="11" customFormat="false" ht="15" hidden="false" customHeight="true" outlineLevel="0" collapsed="false">
      <c r="A11" s="0" t="s">
        <v>219</v>
      </c>
      <c r="B11" s="0" t="s">
        <v>220</v>
      </c>
      <c r="C11" s="0" t="s">
        <v>222</v>
      </c>
      <c r="D11" s="0" t="s">
        <v>176</v>
      </c>
      <c r="E11" s="0" t="s">
        <v>108</v>
      </c>
      <c r="F11" s="0" t="s">
        <v>223</v>
      </c>
      <c r="G11" s="0" t="s">
        <v>224</v>
      </c>
      <c r="H11" s="0" t="s">
        <v>225</v>
      </c>
      <c r="I11" s="0" t="s">
        <v>226</v>
      </c>
      <c r="J11" s="0" t="s">
        <v>227</v>
      </c>
    </row>
    <row r="12" customFormat="false" ht="15" hidden="false" customHeight="true" outlineLevel="0" collapsed="false">
      <c r="A12" s="0" t="s">
        <v>228</v>
      </c>
      <c r="B12" s="0" t="s">
        <v>229</v>
      </c>
      <c r="C12" s="0" t="s">
        <v>231</v>
      </c>
      <c r="D12" s="0" t="s">
        <v>176</v>
      </c>
      <c r="E12" s="0" t="s">
        <v>108</v>
      </c>
      <c r="F12" s="0" t="s">
        <v>232</v>
      </c>
      <c r="G12" s="0" t="s">
        <v>233</v>
      </c>
      <c r="H12" s="0" t="s">
        <v>234</v>
      </c>
      <c r="I12" s="0" t="s">
        <v>235</v>
      </c>
      <c r="J12" s="0" t="s">
        <v>183</v>
      </c>
    </row>
    <row r="13" customFormat="false" ht="15" hidden="false" customHeight="true" outlineLevel="0" collapsed="false">
      <c r="A13" s="0" t="s">
        <v>236</v>
      </c>
      <c r="B13" s="0" t="s">
        <v>237</v>
      </c>
      <c r="C13" s="0" t="s">
        <v>241</v>
      </c>
      <c r="D13" s="0" t="s">
        <v>176</v>
      </c>
      <c r="E13" s="0" t="s">
        <v>108</v>
      </c>
      <c r="F13" s="0" t="s">
        <v>242</v>
      </c>
      <c r="G13" s="0" t="s">
        <v>243</v>
      </c>
      <c r="H13" s="0" t="s">
        <v>244</v>
      </c>
      <c r="I13" s="0" t="s">
        <v>245</v>
      </c>
      <c r="J13" s="0" t="s">
        <v>246</v>
      </c>
    </row>
    <row r="14" customFormat="false" ht="15" hidden="false" customHeight="true" outlineLevel="0" collapsed="false">
      <c r="A14" s="0" t="s">
        <v>250</v>
      </c>
      <c r="B14" s="0" t="s">
        <v>251</v>
      </c>
      <c r="C14" s="0" t="s">
        <v>255</v>
      </c>
      <c r="D14" s="0" t="s">
        <v>176</v>
      </c>
      <c r="E14" s="0" t="s">
        <v>108</v>
      </c>
      <c r="F14" s="0" t="s">
        <v>256</v>
      </c>
      <c r="G14" s="0" t="s">
        <v>257</v>
      </c>
      <c r="H14" s="0" t="s">
        <v>258</v>
      </c>
      <c r="I14" s="0" t="s">
        <v>259</v>
      </c>
      <c r="J14" s="0" t="s">
        <v>260</v>
      </c>
    </row>
    <row r="15" customFormat="false" ht="15" hidden="false" customHeight="true" outlineLevel="0" collapsed="false">
      <c r="A15" s="0" t="s">
        <v>261</v>
      </c>
      <c r="B15" s="0" t="s">
        <v>262</v>
      </c>
      <c r="C15" s="0" t="s">
        <v>264</v>
      </c>
      <c r="D15" s="0" t="s">
        <v>176</v>
      </c>
      <c r="E15" s="0" t="s">
        <v>108</v>
      </c>
      <c r="F15" s="0" t="s">
        <v>265</v>
      </c>
      <c r="G15" s="0" t="s">
        <v>266</v>
      </c>
      <c r="H15" s="0" t="s">
        <v>267</v>
      </c>
      <c r="I15" s="0" t="s">
        <v>268</v>
      </c>
      <c r="J15" s="0" t="s">
        <v>269</v>
      </c>
    </row>
    <row r="16" customFormat="false" ht="15" hidden="false" customHeight="true" outlineLevel="0" collapsed="false">
      <c r="A16" s="0" t="s">
        <v>271</v>
      </c>
      <c r="B16" s="0" t="s">
        <v>272</v>
      </c>
      <c r="C16" s="0" t="s">
        <v>275</v>
      </c>
      <c r="D16" s="0" t="s">
        <v>176</v>
      </c>
      <c r="E16" s="0" t="s">
        <v>108</v>
      </c>
      <c r="F16" s="0" t="s">
        <v>276</v>
      </c>
      <c r="G16" s="0" t="s">
        <v>277</v>
      </c>
      <c r="H16" s="0" t="s">
        <v>278</v>
      </c>
      <c r="I16" s="0" t="s">
        <v>279</v>
      </c>
      <c r="J16" s="0" t="s">
        <v>280</v>
      </c>
    </row>
    <row r="17" customFormat="false" ht="15" hidden="false" customHeight="true" outlineLevel="0" collapsed="false">
      <c r="A17" s="0" t="s">
        <v>282</v>
      </c>
      <c r="B17" s="0" t="s">
        <v>283</v>
      </c>
      <c r="C17" s="0" t="s">
        <v>286</v>
      </c>
      <c r="D17" s="0" t="s">
        <v>176</v>
      </c>
      <c r="E17" s="0" t="s">
        <v>108</v>
      </c>
      <c r="F17" s="0" t="s">
        <v>288</v>
      </c>
      <c r="G17" s="0" t="s">
        <v>289</v>
      </c>
      <c r="H17" s="0" t="s">
        <v>290</v>
      </c>
      <c r="I17" s="0" t="s">
        <v>291</v>
      </c>
      <c r="J17" s="0" t="s">
        <v>183</v>
      </c>
    </row>
    <row r="18" customFormat="false" ht="15" hidden="false" customHeight="true" outlineLevel="0" collapsed="false">
      <c r="A18" s="0" t="s">
        <v>292</v>
      </c>
      <c r="B18" s="0" t="s">
        <v>293</v>
      </c>
      <c r="C18" s="0" t="s">
        <v>295</v>
      </c>
      <c r="D18" s="0" t="s">
        <v>176</v>
      </c>
      <c r="E18" s="0" t="s">
        <v>108</v>
      </c>
      <c r="F18" s="0" t="s">
        <v>296</v>
      </c>
      <c r="G18" s="0" t="s">
        <v>297</v>
      </c>
      <c r="H18" s="0" t="s">
        <v>298</v>
      </c>
      <c r="I18" s="0" t="s">
        <v>299</v>
      </c>
      <c r="J18" s="0" t="s">
        <v>300</v>
      </c>
    </row>
    <row r="19" customFormat="false" ht="15" hidden="false" customHeight="true" outlineLevel="0" collapsed="false">
      <c r="A19" s="0" t="s">
        <v>301</v>
      </c>
      <c r="B19" s="0" t="s">
        <v>302</v>
      </c>
      <c r="C19" s="0" t="s">
        <v>305</v>
      </c>
      <c r="D19" s="0" t="s">
        <v>176</v>
      </c>
      <c r="E19" s="0" t="s">
        <v>108</v>
      </c>
      <c r="F19" s="0" t="s">
        <v>308</v>
      </c>
      <c r="G19" s="0" t="s">
        <v>309</v>
      </c>
      <c r="H19" s="0" t="s">
        <v>310</v>
      </c>
      <c r="I19" s="0" t="s">
        <v>311</v>
      </c>
      <c r="J19" s="0" t="s">
        <v>183</v>
      </c>
    </row>
    <row r="20" customFormat="false" ht="15" hidden="false" customHeight="true" outlineLevel="0" collapsed="false">
      <c r="A20" s="0" t="s">
        <v>315</v>
      </c>
      <c r="B20" s="0" t="s">
        <v>316</v>
      </c>
      <c r="C20" s="0" t="s">
        <v>320</v>
      </c>
      <c r="D20" s="0" t="s">
        <v>176</v>
      </c>
      <c r="E20" s="0" t="s">
        <v>108</v>
      </c>
      <c r="F20" s="0" t="s">
        <v>321</v>
      </c>
      <c r="G20" s="0" t="s">
        <v>322</v>
      </c>
      <c r="H20" s="0" t="s">
        <v>323</v>
      </c>
      <c r="I20" s="0" t="s">
        <v>324</v>
      </c>
      <c r="J20" s="0" t="s">
        <v>325</v>
      </c>
    </row>
    <row r="21" customFormat="false" ht="15" hidden="false" customHeight="true" outlineLevel="0" collapsed="false">
      <c r="A21" s="0" t="s">
        <v>327</v>
      </c>
      <c r="B21" s="0" t="s">
        <v>328</v>
      </c>
      <c r="C21" s="0" t="s">
        <v>331</v>
      </c>
      <c r="D21" s="0" t="s">
        <v>176</v>
      </c>
      <c r="E21" s="0" t="s">
        <v>108</v>
      </c>
      <c r="F21" s="0" t="s">
        <v>332</v>
      </c>
      <c r="G21" s="0" t="s">
        <v>333</v>
      </c>
      <c r="H21" s="0" t="s">
        <v>334</v>
      </c>
      <c r="I21" s="0" t="s">
        <v>335</v>
      </c>
      <c r="J21" s="0" t="s">
        <v>336</v>
      </c>
    </row>
    <row r="22" customFormat="false" ht="15" hidden="false" customHeight="true" outlineLevel="0" collapsed="false">
      <c r="A22" s="0" t="s">
        <v>339</v>
      </c>
      <c r="B22" s="0" t="s">
        <v>340</v>
      </c>
      <c r="C22" s="0" t="s">
        <v>343</v>
      </c>
      <c r="D22" s="0" t="s">
        <v>176</v>
      </c>
      <c r="E22" s="0" t="s">
        <v>108</v>
      </c>
      <c r="F22" s="0" t="s">
        <v>344</v>
      </c>
      <c r="G22" s="0" t="s">
        <v>345</v>
      </c>
      <c r="H22" s="0" t="s">
        <v>346</v>
      </c>
      <c r="I22" s="0" t="s">
        <v>347</v>
      </c>
      <c r="J22" s="0" t="s">
        <v>348</v>
      </c>
    </row>
    <row r="23" customFormat="false" ht="15" hidden="false" customHeight="true" outlineLevel="0" collapsed="false">
      <c r="A23" s="0" t="s">
        <v>349</v>
      </c>
      <c r="B23" s="0" t="s">
        <v>350</v>
      </c>
      <c r="C23" s="0" t="s">
        <v>354</v>
      </c>
      <c r="D23" s="0" t="s">
        <v>176</v>
      </c>
      <c r="E23" s="0" t="s">
        <v>108</v>
      </c>
      <c r="F23" s="0" t="s">
        <v>357</v>
      </c>
      <c r="G23" s="0" t="s">
        <v>358</v>
      </c>
      <c r="H23" s="0" t="s">
        <v>359</v>
      </c>
      <c r="I23" s="0" t="s">
        <v>360</v>
      </c>
      <c r="J23" s="0" t="s">
        <v>361</v>
      </c>
    </row>
    <row r="24" customFormat="false" ht="15" hidden="false" customHeight="true" outlineLevel="0" collapsed="false">
      <c r="A24" s="0" t="s">
        <v>363</v>
      </c>
      <c r="B24" s="0" t="s">
        <v>364</v>
      </c>
      <c r="C24" s="0" t="s">
        <v>368</v>
      </c>
      <c r="D24" s="0" t="s">
        <v>176</v>
      </c>
      <c r="E24" s="0" t="s">
        <v>108</v>
      </c>
      <c r="F24" s="0" t="s">
        <v>370</v>
      </c>
      <c r="G24" s="0" t="s">
        <v>371</v>
      </c>
      <c r="H24" s="0" t="s">
        <v>372</v>
      </c>
      <c r="I24" s="0" t="s">
        <v>373</v>
      </c>
      <c r="J24" s="0" t="s">
        <v>194</v>
      </c>
    </row>
    <row r="25" customFormat="false" ht="15" hidden="false" customHeight="true" outlineLevel="0" collapsed="false">
      <c r="A25" s="0" t="s">
        <v>375</v>
      </c>
      <c r="B25" s="0" t="s">
        <v>376</v>
      </c>
      <c r="C25" s="0" t="s">
        <v>378</v>
      </c>
      <c r="D25" s="0" t="s">
        <v>176</v>
      </c>
      <c r="E25" s="0" t="s">
        <v>108</v>
      </c>
      <c r="F25" s="0" t="s">
        <v>379</v>
      </c>
      <c r="G25" s="0" t="s">
        <v>380</v>
      </c>
      <c r="H25" s="0" t="s">
        <v>381</v>
      </c>
      <c r="I25" s="0" t="s">
        <v>382</v>
      </c>
      <c r="J25" s="0" t="s">
        <v>383</v>
      </c>
    </row>
    <row r="26" customFormat="false" ht="15" hidden="false" customHeight="true" outlineLevel="0" collapsed="false">
      <c r="A26" s="0" t="s">
        <v>386</v>
      </c>
      <c r="B26" s="0" t="s">
        <v>387</v>
      </c>
      <c r="C26" s="0" t="s">
        <v>389</v>
      </c>
      <c r="D26" s="0" t="s">
        <v>176</v>
      </c>
      <c r="E26" s="0" t="s">
        <v>108</v>
      </c>
      <c r="F26" s="0" t="s">
        <v>391</v>
      </c>
      <c r="G26" s="0" t="s">
        <v>392</v>
      </c>
      <c r="H26" s="0" t="s">
        <v>393</v>
      </c>
      <c r="I26" s="0" t="s">
        <v>394</v>
      </c>
      <c r="J26" s="0" t="s">
        <v>395</v>
      </c>
    </row>
    <row r="27" customFormat="false" ht="15" hidden="false" customHeight="true" outlineLevel="0" collapsed="false">
      <c r="A27" s="0" t="s">
        <v>397</v>
      </c>
      <c r="B27" s="0" t="s">
        <v>398</v>
      </c>
      <c r="C27" s="0" t="s">
        <v>400</v>
      </c>
      <c r="D27" s="0" t="s">
        <v>176</v>
      </c>
      <c r="E27" s="0" t="s">
        <v>108</v>
      </c>
      <c r="F27" s="0" t="s">
        <v>401</v>
      </c>
      <c r="G27" s="0" t="s">
        <v>402</v>
      </c>
      <c r="H27" s="0" t="s">
        <v>403</v>
      </c>
      <c r="I27" s="0" t="s">
        <v>404</v>
      </c>
      <c r="J27" s="0" t="s">
        <v>405</v>
      </c>
    </row>
    <row r="28" customFormat="false" ht="15" hidden="false" customHeight="true" outlineLevel="0" collapsed="false">
      <c r="A28" s="0" t="s">
        <v>408</v>
      </c>
      <c r="B28" s="0" t="s">
        <v>409</v>
      </c>
      <c r="C28" s="0" t="s">
        <v>412</v>
      </c>
      <c r="D28" s="0" t="s">
        <v>176</v>
      </c>
      <c r="E28" s="0" t="s">
        <v>108</v>
      </c>
      <c r="F28" s="0" t="s">
        <v>413</v>
      </c>
      <c r="G28" s="0" t="s">
        <v>414</v>
      </c>
      <c r="H28" s="0" t="s">
        <v>415</v>
      </c>
      <c r="I28" s="0" t="s">
        <v>416</v>
      </c>
      <c r="J28" s="0" t="s">
        <v>417</v>
      </c>
    </row>
    <row r="29" customFormat="false" ht="15" hidden="false" customHeight="true" outlineLevel="0" collapsed="false">
      <c r="A29" s="0" t="s">
        <v>418</v>
      </c>
      <c r="B29" s="0" t="s">
        <v>419</v>
      </c>
      <c r="C29" s="0" t="s">
        <v>422</v>
      </c>
      <c r="D29" s="0" t="s">
        <v>176</v>
      </c>
      <c r="E29" s="0" t="s">
        <v>108</v>
      </c>
      <c r="F29" s="0" t="s">
        <v>424</v>
      </c>
      <c r="G29" s="0" t="s">
        <v>425</v>
      </c>
      <c r="H29" s="0" t="s">
        <v>426</v>
      </c>
      <c r="I29" s="0" t="s">
        <v>427</v>
      </c>
      <c r="J29" s="0" t="s">
        <v>428</v>
      </c>
    </row>
    <row r="30" customFormat="false" ht="15" hidden="false" customHeight="true" outlineLevel="0" collapsed="false">
      <c r="A30" s="0" t="s">
        <v>429</v>
      </c>
      <c r="B30" s="0" t="s">
        <v>430</v>
      </c>
      <c r="C30" s="0" t="s">
        <v>433</v>
      </c>
      <c r="D30" s="0" t="s">
        <v>176</v>
      </c>
      <c r="E30" s="0" t="s">
        <v>108</v>
      </c>
      <c r="F30" s="0" t="s">
        <v>435</v>
      </c>
      <c r="G30" s="0" t="s">
        <v>436</v>
      </c>
      <c r="H30" s="0" t="s">
        <v>437</v>
      </c>
      <c r="I30" s="0" t="s">
        <v>438</v>
      </c>
      <c r="J30" s="0" t="s">
        <v>439</v>
      </c>
    </row>
    <row r="31" customFormat="false" ht="15" hidden="false" customHeight="true" outlineLevel="0" collapsed="false">
      <c r="A31" s="0" t="s">
        <v>440</v>
      </c>
      <c r="B31" s="0" t="s">
        <v>441</v>
      </c>
      <c r="C31" s="0" t="s">
        <v>444</v>
      </c>
      <c r="D31" s="0" t="s">
        <v>176</v>
      </c>
      <c r="E31" s="0" t="s">
        <v>108</v>
      </c>
      <c r="F31" s="0" t="s">
        <v>447</v>
      </c>
      <c r="G31" s="0" t="s">
        <v>448</v>
      </c>
      <c r="H31" s="0" t="s">
        <v>449</v>
      </c>
      <c r="I31" s="0" t="s">
        <v>450</v>
      </c>
      <c r="J31" s="0" t="s">
        <v>451</v>
      </c>
    </row>
    <row r="32" customFormat="false" ht="15" hidden="false" customHeight="true" outlineLevel="0" collapsed="false">
      <c r="A32" s="0" t="s">
        <v>452</v>
      </c>
      <c r="B32" s="0" t="s">
        <v>453</v>
      </c>
      <c r="C32" s="0" t="s">
        <v>458</v>
      </c>
      <c r="D32" s="0" t="s">
        <v>176</v>
      </c>
      <c r="E32" s="0" t="s">
        <v>108</v>
      </c>
      <c r="F32" s="0" t="s">
        <v>459</v>
      </c>
      <c r="G32" s="0" t="s">
        <v>460</v>
      </c>
      <c r="H32" s="0" t="s">
        <v>461</v>
      </c>
      <c r="I32" s="0" t="s">
        <v>462</v>
      </c>
      <c r="J32" s="0" t="s">
        <v>463</v>
      </c>
    </row>
    <row r="33" customFormat="false" ht="15" hidden="false" customHeight="true" outlineLevel="0" collapsed="false">
      <c r="A33" s="0" t="s">
        <v>464</v>
      </c>
      <c r="B33" s="0" t="s">
        <v>465</v>
      </c>
      <c r="C33" s="0" t="s">
        <v>467</v>
      </c>
      <c r="D33" s="0" t="s">
        <v>176</v>
      </c>
      <c r="E33" s="0" t="s">
        <v>108</v>
      </c>
      <c r="F33" s="0" t="s">
        <v>459</v>
      </c>
      <c r="G33" s="0" t="s">
        <v>468</v>
      </c>
      <c r="H33" s="0" t="s">
        <v>469</v>
      </c>
      <c r="I33" s="0" t="s">
        <v>470</v>
      </c>
      <c r="J33" s="0" t="s">
        <v>471</v>
      </c>
    </row>
    <row r="34" customFormat="false" ht="15" hidden="false" customHeight="true" outlineLevel="0" collapsed="false">
      <c r="A34" s="0" t="s">
        <v>472</v>
      </c>
      <c r="B34" s="0" t="s">
        <v>473</v>
      </c>
      <c r="C34" s="0" t="s">
        <v>476</v>
      </c>
      <c r="D34" s="0" t="s">
        <v>176</v>
      </c>
      <c r="E34" s="0" t="s">
        <v>108</v>
      </c>
      <c r="F34" s="0" t="s">
        <v>459</v>
      </c>
      <c r="G34" s="0" t="s">
        <v>477</v>
      </c>
      <c r="H34" s="0" t="s">
        <v>461</v>
      </c>
      <c r="I34" s="0" t="s">
        <v>478</v>
      </c>
      <c r="J34" s="0" t="s">
        <v>463</v>
      </c>
    </row>
    <row r="35" customFormat="false" ht="15" hidden="false" customHeight="true" outlineLevel="0" collapsed="false">
      <c r="A35" s="0" t="s">
        <v>479</v>
      </c>
      <c r="B35" s="0" t="s">
        <v>480</v>
      </c>
      <c r="C35" s="0" t="s">
        <v>483</v>
      </c>
      <c r="D35" s="0" t="s">
        <v>176</v>
      </c>
      <c r="E35" s="0" t="s">
        <v>108</v>
      </c>
      <c r="F35" s="0" t="s">
        <v>485</v>
      </c>
      <c r="G35" s="0" t="s">
        <v>486</v>
      </c>
      <c r="H35" s="0" t="s">
        <v>487</v>
      </c>
      <c r="I35" s="0" t="s">
        <v>488</v>
      </c>
      <c r="J35" s="0" t="s">
        <v>489</v>
      </c>
    </row>
    <row r="36" customFormat="false" ht="15" hidden="false" customHeight="true" outlineLevel="0" collapsed="false">
      <c r="A36" s="0" t="s">
        <v>490</v>
      </c>
      <c r="B36" s="0" t="s">
        <v>491</v>
      </c>
      <c r="C36" s="0" t="s">
        <v>493</v>
      </c>
      <c r="D36" s="0" t="s">
        <v>176</v>
      </c>
      <c r="E36" s="0" t="s">
        <v>108</v>
      </c>
      <c r="F36" s="0" t="s">
        <v>494</v>
      </c>
      <c r="G36" s="0" t="s">
        <v>495</v>
      </c>
      <c r="H36" s="0" t="s">
        <v>496</v>
      </c>
      <c r="I36" s="0" t="s">
        <v>497</v>
      </c>
      <c r="J36" s="0" t="s">
        <v>498</v>
      </c>
    </row>
    <row r="37" customFormat="false" ht="15" hidden="false" customHeight="true" outlineLevel="0" collapsed="false">
      <c r="A37" s="0" t="s">
        <v>499</v>
      </c>
      <c r="B37" s="0" t="s">
        <v>500</v>
      </c>
      <c r="C37" s="0" t="s">
        <v>504</v>
      </c>
      <c r="D37" s="0" t="s">
        <v>176</v>
      </c>
      <c r="E37" s="0" t="s">
        <v>108</v>
      </c>
      <c r="F37" s="0" t="s">
        <v>508</v>
      </c>
      <c r="G37" s="0" t="s">
        <v>509</v>
      </c>
      <c r="H37" s="0" t="s">
        <v>510</v>
      </c>
      <c r="I37" s="0" t="s">
        <v>511</v>
      </c>
      <c r="J37" s="0" t="s">
        <v>512</v>
      </c>
    </row>
    <row r="38" customFormat="false" ht="15" hidden="false" customHeight="true" outlineLevel="0" collapsed="false">
      <c r="A38" s="0" t="s">
        <v>513</v>
      </c>
      <c r="B38" s="0" t="s">
        <v>514</v>
      </c>
    </row>
    <row r="39" customFormat="false" ht="15" hidden="false" customHeight="true" outlineLevel="0" collapsed="false">
      <c r="A39" s="0" t="s">
        <v>515</v>
      </c>
      <c r="B39" s="0" t="s">
        <v>516</v>
      </c>
    </row>
    <row r="40" customFormat="false" ht="15" hidden="false" customHeight="true" outlineLevel="0" collapsed="false">
      <c r="A40" s="0" t="s">
        <v>518</v>
      </c>
      <c r="B40" s="0" t="s">
        <v>519</v>
      </c>
    </row>
    <row r="41" customFormat="false" ht="15" hidden="false" customHeight="true" outlineLevel="0" collapsed="false">
      <c r="A41" s="0" t="s">
        <v>521</v>
      </c>
      <c r="B41" s="0" t="s">
        <v>522</v>
      </c>
    </row>
    <row r="42" customFormat="false" ht="15" hidden="false" customHeight="true" outlineLevel="0" collapsed="false">
      <c r="A42" s="0" t="s">
        <v>524</v>
      </c>
      <c r="B42" s="0" t="s">
        <v>525</v>
      </c>
    </row>
    <row r="43" customFormat="false" ht="15" hidden="false" customHeight="true" outlineLevel="0" collapsed="false">
      <c r="A43" s="0" t="s">
        <v>526</v>
      </c>
      <c r="B43" s="0" t="s">
        <v>527</v>
      </c>
    </row>
    <row r="44" customFormat="false" ht="15" hidden="false" customHeight="true" outlineLevel="0" collapsed="false">
      <c r="A44" s="0" t="s">
        <v>528</v>
      </c>
      <c r="B44" s="0" t="s">
        <v>529</v>
      </c>
    </row>
    <row r="45" customFormat="false" ht="15" hidden="false" customHeight="true" outlineLevel="0" collapsed="false">
      <c r="A45" s="0" t="s">
        <v>531</v>
      </c>
      <c r="B45" s="0" t="s">
        <v>532</v>
      </c>
    </row>
    <row r="46" customFormat="false" ht="15" hidden="false" customHeight="true" outlineLevel="0" collapsed="false">
      <c r="A46" s="0" t="s">
        <v>534</v>
      </c>
      <c r="B46" s="0" t="s">
        <v>535</v>
      </c>
    </row>
    <row r="47" customFormat="false" ht="15" hidden="false" customHeight="true" outlineLevel="0" collapsed="false">
      <c r="A47" s="0" t="s">
        <v>537</v>
      </c>
      <c r="B47" s="0" t="s">
        <v>538</v>
      </c>
    </row>
    <row r="48" customFormat="false" ht="15" hidden="false" customHeight="true" outlineLevel="0" collapsed="false">
      <c r="A48" s="0" t="s">
        <v>539</v>
      </c>
      <c r="B48" s="0" t="s">
        <v>540</v>
      </c>
    </row>
    <row r="49" customFormat="false" ht="15" hidden="false" customHeight="true" outlineLevel="0" collapsed="false">
      <c r="A49" s="0" t="s">
        <v>541</v>
      </c>
      <c r="B49" s="0" t="s">
        <v>542</v>
      </c>
    </row>
    <row r="50" customFormat="false" ht="15" hidden="false" customHeight="true" outlineLevel="0" collapsed="false">
      <c r="A50" s="0" t="s">
        <v>543</v>
      </c>
      <c r="B50" s="0" t="s">
        <v>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2026-07-05T14:02:02Z</dcterms:created>
  <dc:creator>openpyxl</dc:creator>
  <dc:description/>
  <dc:language>en-US</dc:language>
  <cp:lastModifiedBy>jagadish p</cp:lastModifiedBy>
  <dcterms:modified xsi:type="dcterms:W3CDTF">2026-07-10T05:12:13Z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